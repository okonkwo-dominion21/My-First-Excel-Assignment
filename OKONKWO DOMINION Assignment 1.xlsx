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194A2B-3D44-48CD-AE6B-1500360903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Sheet1" sheetId="2" r:id="rId2"/>
    <sheet name="Answers" sheetId="3" r:id="rId3"/>
  </sheets>
  <calcPr calcId="191029"/>
</workbook>
</file>

<file path=xl/calcChain.xml><?xml version="1.0" encoding="utf-8"?>
<calcChain xmlns="http://schemas.openxmlformats.org/spreadsheetml/2006/main">
  <c r="Q13" i="3" l="1"/>
  <c r="Q11" i="3"/>
  <c r="Q9" i="3"/>
  <c r="Q7" i="3"/>
  <c r="Q5" i="3"/>
  <c r="Q3" i="3"/>
  <c r="B108" i="3"/>
  <c r="B106" i="3"/>
  <c r="B10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</calcChain>
</file>

<file path=xl/sharedStrings.xml><?xml version="1.0" encoding="utf-8"?>
<sst xmlns="http://schemas.openxmlformats.org/spreadsheetml/2006/main" count="1466" uniqueCount="210">
  <si>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</si>
  <si>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</si>
  <si>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</si>
  <si>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</si>
  <si>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</si>
  <si>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</si>
  <si>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</si>
  <si>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</si>
  <si>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</si>
  <si>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</si>
  <si>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</si>
  <si>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</si>
  <si>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</si>
  <si>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</si>
  <si>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</si>
  <si>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</si>
  <si>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</si>
  <si>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</si>
  <si>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</si>
  <si>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</si>
  <si>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</si>
  <si>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</si>
  <si>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</si>
  <si>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</si>
  <si>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</si>
  <si>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</si>
  <si>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</si>
  <si>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</si>
  <si>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</si>
  <si>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</si>
  <si>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</si>
  <si>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</si>
  <si>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</si>
  <si>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</si>
  <si>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</si>
  <si>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</si>
  <si>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</si>
  <si>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</si>
  <si>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</si>
  <si>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</si>
  <si>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</si>
  <si>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</si>
  <si>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</si>
  <si>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</si>
  <si>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</si>
  <si>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</si>
  <si>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</si>
  <si>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</si>
  <si>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</si>
  <si>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</si>
  <si>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</si>
  <si>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</si>
  <si>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</si>
  <si>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</si>
  <si>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</si>
  <si>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</si>
  <si>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</si>
  <si>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</si>
  <si>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</si>
  <si>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</si>
  <si>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</si>
  <si>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</si>
  <si>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</si>
  <si>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</si>
  <si>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</si>
  <si>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</si>
  <si>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</si>
  <si>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</si>
  <si>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</si>
  <si>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</si>
  <si>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</si>
  <si>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</si>
  <si>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</si>
  <si>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</si>
  <si>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</si>
  <si>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</si>
  <si>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</si>
  <si>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</si>
  <si>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</si>
  <si>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</si>
  <si>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</si>
  <si>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</si>
  <si>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</si>
  <si>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</si>
  <si>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</si>
  <si>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</si>
  <si>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</si>
  <si>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</si>
  <si>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</si>
  <si>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</si>
  <si>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</si>
  <si>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</si>
  <si>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</si>
  <si>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</si>
  <si>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</si>
  <si>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</si>
  <si>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</si>
  <si>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</si>
  <si>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</si>
  <si>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</si>
  <si>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</si>
  <si>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</si>
  <si>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</si>
  <si>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</si>
  <si>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</si>
  <si>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</si>
  <si>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</si>
  <si>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</si>
  <si>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</si>
  <si>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</si>
  <si>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</si>
  <si>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</si>
  <si>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</si>
  <si>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</si>
  <si>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</si>
  <si>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</si>
  <si>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</si>
  <si>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</si>
  <si>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</si>
  <si>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</si>
  <si>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</si>
  <si>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</si>
  <si>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</si>
  <si>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</si>
  <si>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</si>
  <si>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</si>
  <si>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</si>
  <si>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</si>
  <si>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</si>
  <si>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</si>
  <si>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</si>
  <si>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</si>
  <si>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</si>
  <si>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</si>
  <si>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</si>
  <si>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</si>
  <si>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</si>
  <si>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</si>
  <si>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</si>
  <si>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</si>
  <si>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</si>
  <si>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</si>
  <si>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</si>
  <si>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</si>
  <si>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</si>
  <si>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</si>
  <si>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</si>
  <si>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</si>
  <si>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</si>
  <si>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</si>
  <si>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</si>
  <si>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</si>
  <si>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</si>
  <si>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</si>
  <si>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</si>
  <si>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</si>
  <si>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</si>
  <si>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</si>
  <si>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</si>
  <si>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</si>
  <si>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</si>
  <si>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</si>
  <si>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</si>
  <si>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</si>
  <si>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</si>
  <si>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</si>
  <si>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</si>
  <si>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</si>
  <si>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</si>
  <si>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</si>
  <si>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r>
      <rPr>
        <u/>
        <sz val="11"/>
        <color rgb="FF800080"/>
        <rFont val="Calibri"/>
      </rPr>
      <t xml:space="preserve"> https://docs.google.com/forms/d/1XlNYHeYal-dyobjPkKfbrCW7qvB8kNe_O7pfYNYinq8/edit?ts=6a2fc4d9  </t>
    </r>
  </si>
  <si>
    <t>Submit via this link.</t>
  </si>
  <si>
    <t>First Name</t>
  </si>
  <si>
    <t>Sade</t>
  </si>
  <si>
    <t>Faith</t>
  </si>
  <si>
    <t>Ibrahim</t>
  </si>
  <si>
    <t>Tunde</t>
  </si>
  <si>
    <t>James</t>
  </si>
  <si>
    <t>Tope</t>
  </si>
  <si>
    <t>Chika</t>
  </si>
  <si>
    <t>Maria</t>
  </si>
  <si>
    <t>Ngozi</t>
  </si>
  <si>
    <t>Emeka</t>
  </si>
  <si>
    <t>Last Name</t>
  </si>
  <si>
    <t>Email Address</t>
  </si>
  <si>
    <t>Length</t>
  </si>
  <si>
    <t>Department-Upper</t>
  </si>
  <si>
    <t>Department-Proper</t>
  </si>
  <si>
    <t>Bassey</t>
  </si>
  <si>
    <t>Udo</t>
  </si>
  <si>
    <t>Musa</t>
  </si>
  <si>
    <t>Salisu</t>
  </si>
  <si>
    <t>Obi</t>
  </si>
  <si>
    <t>Ade</t>
  </si>
  <si>
    <t>Umeh</t>
  </si>
  <si>
    <t>Okafor</t>
  </si>
  <si>
    <t>Bello</t>
  </si>
  <si>
    <t>John</t>
  </si>
  <si>
    <t>Department -Lower</t>
  </si>
  <si>
    <t>Trimmed Names</t>
  </si>
  <si>
    <t>Count the employees</t>
  </si>
  <si>
    <t>Average Salary</t>
  </si>
  <si>
    <t>Total Salary</t>
  </si>
  <si>
    <t xml:space="preserve">Total Salary for Sales </t>
  </si>
  <si>
    <t>Average Salary for HR</t>
  </si>
  <si>
    <t>Total Salary for Lagos Employees with More than 3 years of Experience</t>
  </si>
  <si>
    <t>Average Salary for Female Employees in Lagos</t>
  </si>
  <si>
    <t>Count the Number of Male Employees in Lagos</t>
  </si>
  <si>
    <t>Find the Maximum Salary for Employees in IT Department</t>
  </si>
  <si>
    <t>Aggregate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</si>
</sst>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5">
    <font>
      <sz val="11"/>
      <name val="Calibri"/>
    </font>
    <font>
      <u/>
      <sz val="11"/>
      <color rgb="FF800080"/>
      <name val="Calibri"/>
    </font>
    <font>
      <b/>
      <sz val="11"/>
      <color rgb="FF000000"/>
      <name val="Calibri"/>
      <charset val="134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164" fontId="3" fillId="0" borderId="0" xfId="0" applyNumberFormat="1" applyFont="1" applyFill="1" applyBorder="1" applyAlignment="1">
      <alignment horizontal="center" vertical="top"/>
    </xf>
    <xf numFmtId="0" fontId="4" fillId="0" borderId="0" xfId="0" applyFont="1" applyFill="1" applyBorder="1">
      <alignment vertical="center"/>
    </xf>
    <xf numFmtId="164" fontId="4" fillId="0" borderId="0" xfId="0" applyNumberFormat="1" applyFont="1" applyFill="1" applyBorder="1">
      <alignment vertical="center"/>
    </xf>
    <xf numFmtId="164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&quot;₦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C693F-3E53-491B-982D-1BFA8B9E2741}" name="Table1" displayName="Table1" ref="A1:O101" totalsRowShown="0" headerRowDxfId="1" dataDxfId="14">
  <autoFilter ref="A1:O101" xr:uid="{298C693F-3E53-491B-982D-1BFA8B9E2741}"/>
  <tableColumns count="15">
    <tableColumn id="1" xr3:uid="{501B8E33-6495-4BBD-991B-E0806E547745}" name="Employee ID" dataDxfId="19"/>
    <tableColumn id="2" xr3:uid="{E22792C6-3696-4835-A5E7-B34272B92213}" name="First Name" dataDxfId="18"/>
    <tableColumn id="9" xr3:uid="{A735206D-7585-4071-9E53-690493B7440B}" name="Last Name" dataDxfId="10"/>
    <tableColumn id="10" xr3:uid="{16CADC8B-58F7-40DD-B4CC-C8B0F35C4F34}" name="Email Address" dataDxfId="9">
      <calculatedColumnFormula>LOWER(_xlfn.TEXTJOIN("",TRUE,B2,".",C2,"@dame.com"))</calculatedColumnFormula>
    </tableColumn>
    <tableColumn id="3" xr3:uid="{3C84AD38-A267-4851-814D-0811E20B7F06}" name="Department" dataDxfId="17"/>
    <tableColumn id="14" xr3:uid="{5C53B500-39DF-40BE-972D-B81119CF2B90}" name="Length" dataDxfId="8">
      <calculatedColumnFormula>LEN(Y2)</calculatedColumnFormula>
    </tableColumn>
    <tableColumn id="13" xr3:uid="{82113162-5EB9-4098-A67F-01DC150A613E}" name="Department-Upper" dataDxfId="7">
      <calculatedColumnFormula>UPPER(Table1[[#This Row],[Department]])</calculatedColumnFormula>
    </tableColumn>
    <tableColumn id="12" xr3:uid="{18065B71-EBB0-4F80-9886-E21E4F6F85A5}" name="Department -Lower" dataDxfId="6">
      <calculatedColumnFormula>LOWER(Table1[[#This Row],[Department]])</calculatedColumnFormula>
    </tableColumn>
    <tableColumn id="11" xr3:uid="{E49D6A91-CF98-472E-8BF8-40CF48AFEDC6}" name="Department-Proper" dataDxfId="5">
      <calculatedColumnFormula>PROPER(Table1[[#This Row],[Department]])</calculatedColumnFormula>
    </tableColumn>
    <tableColumn id="16" xr3:uid="{DDBAD174-3BA4-4B03-85B2-758B41CC999A}" name="Trimmed Names" dataDxfId="4">
      <calculatedColumnFormula>TRIM(Y2)</calculatedColumnFormula>
    </tableColumn>
    <tableColumn id="4" xr3:uid="{8F987F99-462B-4516-A274-849EABB1385D}" name="Job Title" dataDxfId="16"/>
    <tableColumn id="5" xr3:uid="{C9093F82-2CE9-4DEC-8D3E-2B8B09E4C488}" name="Gender" dataDxfId="13"/>
    <tableColumn id="6" xr3:uid="{9A70A244-F52D-45D0-B9E4-61E12801AD09}" name="Salary" dataDxfId="11"/>
    <tableColumn id="7" xr3:uid="{65244B1C-44BC-42B2-8C68-7EBBDEBAA821}" name="Experience (Years)" dataDxfId="12"/>
    <tableColumn id="8" xr3:uid="{F2C7206E-69F2-487A-A8E3-6DE048913996}" name="City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923258-61EF-4F81-8F32-3CCE6C271C99}" name="Table4" displayName="Table4" ref="Q1:Q13" totalsRowShown="0" headerRowDxfId="0" dataDxfId="2">
  <autoFilter ref="Q1:Q13" xr:uid="{C0923258-61EF-4F81-8F32-3CCE6C271C99}"/>
  <tableColumns count="1">
    <tableColumn id="1" xr3:uid="{BCEAFA8C-17F4-4442-BB80-840380224989}" name="Aggregate Function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opLeftCell="A33" workbookViewId="0">
      <selection activeCell="A64" sqref="A64"/>
    </sheetView>
  </sheetViews>
  <sheetFormatPr defaultColWidth="9" defaultRowHeight="14.5"/>
  <cols>
    <col min="1" max="1" width="126.9062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0" spans="1:1">
      <c r="A20" t="s">
        <v>10</v>
      </c>
    </row>
    <row r="22" spans="1:1">
      <c r="A22" t="s">
        <v>11</v>
      </c>
    </row>
    <row r="24" spans="1:1">
      <c r="A24" t="s">
        <v>12</v>
      </c>
    </row>
    <row r="26" spans="1:1">
      <c r="A26" t="s">
        <v>13</v>
      </c>
    </row>
    <row r="28" spans="1:1">
      <c r="A28" t="s">
        <v>14</v>
      </c>
    </row>
    <row r="30" spans="1:1">
      <c r="A30" t="s">
        <v>15</v>
      </c>
    </row>
    <row r="32" spans="1:1">
      <c r="A32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  <row r="41" spans="1:1">
      <c r="A41" t="s">
        <v>20</v>
      </c>
    </row>
    <row r="43" spans="1:1">
      <c r="A43" t="s">
        <v>21</v>
      </c>
    </row>
    <row r="45" spans="1:1">
      <c r="A45" t="s">
        <v>22</v>
      </c>
    </row>
    <row r="48" spans="1:1">
      <c r="A48" t="s">
        <v>23</v>
      </c>
    </row>
    <row r="50" spans="1:1">
      <c r="A50" t="s">
        <v>24</v>
      </c>
    </row>
    <row r="52" spans="1:1">
      <c r="A52" t="s">
        <v>25</v>
      </c>
    </row>
    <row r="54" spans="1:1">
      <c r="A54" t="s">
        <v>26</v>
      </c>
    </row>
    <row r="56" spans="1:1">
      <c r="A56" t="s">
        <v>27</v>
      </c>
    </row>
    <row r="58" spans="1:1">
      <c r="A58" t="s">
        <v>28</v>
      </c>
    </row>
    <row r="60" spans="1:1">
      <c r="A60" t="s">
        <v>29</v>
      </c>
    </row>
    <row r="64" spans="1:1">
      <c r="A64" t="s">
        <v>171</v>
      </c>
    </row>
    <row r="65" spans="1:1">
      <c r="A65" s="1" t="s">
        <v>170</v>
      </c>
    </row>
  </sheetData>
  <hyperlinks>
    <hyperlink ref="A6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J13" sqref="J13"/>
    </sheetView>
  </sheetViews>
  <sheetFormatPr defaultColWidth="9" defaultRowHeight="14.5"/>
  <sheetData>
    <row r="1" spans="1:8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400712</v>
      </c>
      <c r="G2">
        <v>4</v>
      </c>
      <c r="H2" t="s">
        <v>43</v>
      </c>
    </row>
    <row r="3" spans="1:8">
      <c r="A3" t="s">
        <v>44</v>
      </c>
      <c r="B3" t="s">
        <v>39</v>
      </c>
      <c r="C3" t="s">
        <v>45</v>
      </c>
      <c r="D3" t="s">
        <v>46</v>
      </c>
      <c r="E3" t="s">
        <v>47</v>
      </c>
      <c r="F3">
        <v>200754</v>
      </c>
      <c r="G3">
        <v>10</v>
      </c>
      <c r="H3" t="s">
        <v>48</v>
      </c>
    </row>
    <row r="4" spans="1:8">
      <c r="A4" t="s">
        <v>49</v>
      </c>
      <c r="B4" t="s">
        <v>50</v>
      </c>
      <c r="C4" t="s">
        <v>51</v>
      </c>
      <c r="D4" t="s">
        <v>46</v>
      </c>
      <c r="E4" t="s">
        <v>42</v>
      </c>
      <c r="F4">
        <v>457735</v>
      </c>
      <c r="G4">
        <v>3</v>
      </c>
      <c r="H4" t="s">
        <v>43</v>
      </c>
    </row>
    <row r="5" spans="1:8">
      <c r="A5" t="s">
        <v>52</v>
      </c>
      <c r="B5" t="s">
        <v>39</v>
      </c>
      <c r="C5" t="s">
        <v>53</v>
      </c>
      <c r="D5" t="s">
        <v>54</v>
      </c>
      <c r="E5" t="s">
        <v>42</v>
      </c>
      <c r="F5">
        <v>337091</v>
      </c>
      <c r="G5">
        <v>2</v>
      </c>
      <c r="H5" t="s">
        <v>55</v>
      </c>
    </row>
    <row r="6" spans="1:8">
      <c r="A6" t="s">
        <v>56</v>
      </c>
      <c r="B6" t="s">
        <v>57</v>
      </c>
      <c r="C6" t="s">
        <v>40</v>
      </c>
      <c r="D6" t="s">
        <v>46</v>
      </c>
      <c r="E6" t="s">
        <v>47</v>
      </c>
      <c r="F6">
        <v>436492</v>
      </c>
      <c r="G6">
        <v>5</v>
      </c>
      <c r="H6" t="s">
        <v>58</v>
      </c>
    </row>
    <row r="7" spans="1:8">
      <c r="A7" t="s">
        <v>59</v>
      </c>
      <c r="B7" t="s">
        <v>60</v>
      </c>
      <c r="C7" t="s">
        <v>40</v>
      </c>
      <c r="D7" t="s">
        <v>61</v>
      </c>
      <c r="E7" t="s">
        <v>42</v>
      </c>
      <c r="F7">
        <v>404484</v>
      </c>
      <c r="G7">
        <v>10</v>
      </c>
      <c r="H7" t="s">
        <v>55</v>
      </c>
    </row>
    <row r="8" spans="1:8">
      <c r="A8" t="s">
        <v>62</v>
      </c>
      <c r="B8" t="s">
        <v>63</v>
      </c>
      <c r="C8" t="s">
        <v>40</v>
      </c>
      <c r="D8" t="s">
        <v>41</v>
      </c>
      <c r="E8" t="s">
        <v>42</v>
      </c>
      <c r="F8">
        <v>450806</v>
      </c>
      <c r="G8">
        <v>3</v>
      </c>
      <c r="H8" t="s">
        <v>48</v>
      </c>
    </row>
    <row r="9" spans="1:8">
      <c r="A9" t="s">
        <v>64</v>
      </c>
      <c r="B9" t="s">
        <v>57</v>
      </c>
      <c r="C9" t="s">
        <v>53</v>
      </c>
      <c r="D9" t="s">
        <v>46</v>
      </c>
      <c r="E9" t="s">
        <v>42</v>
      </c>
      <c r="F9">
        <v>307961</v>
      </c>
      <c r="G9">
        <v>2</v>
      </c>
      <c r="H9" t="s">
        <v>65</v>
      </c>
    </row>
    <row r="10" spans="1:8">
      <c r="A10" t="s">
        <v>66</v>
      </c>
      <c r="B10" t="s">
        <v>50</v>
      </c>
      <c r="C10" t="s">
        <v>51</v>
      </c>
      <c r="D10" t="s">
        <v>67</v>
      </c>
      <c r="E10" t="s">
        <v>47</v>
      </c>
      <c r="F10">
        <v>246421</v>
      </c>
      <c r="G10">
        <v>6</v>
      </c>
      <c r="H10" t="s">
        <v>58</v>
      </c>
    </row>
    <row r="11" spans="1:8">
      <c r="A11" t="s">
        <v>68</v>
      </c>
      <c r="B11" t="s">
        <v>69</v>
      </c>
      <c r="C11" t="s">
        <v>70</v>
      </c>
      <c r="D11" t="s">
        <v>67</v>
      </c>
      <c r="E11" t="s">
        <v>47</v>
      </c>
      <c r="F11">
        <v>403684</v>
      </c>
      <c r="G11">
        <v>3</v>
      </c>
      <c r="H11" t="s">
        <v>48</v>
      </c>
    </row>
    <row r="12" spans="1:8">
      <c r="A12" t="s">
        <v>71</v>
      </c>
      <c r="B12" t="s">
        <v>63</v>
      </c>
      <c r="C12" t="s">
        <v>45</v>
      </c>
      <c r="D12" t="s">
        <v>72</v>
      </c>
      <c r="E12" t="s">
        <v>42</v>
      </c>
      <c r="F12">
        <v>317995</v>
      </c>
      <c r="G12">
        <v>9</v>
      </c>
      <c r="H12" t="s">
        <v>58</v>
      </c>
    </row>
    <row r="13" spans="1:8">
      <c r="A13" t="s">
        <v>73</v>
      </c>
      <c r="B13" t="s">
        <v>74</v>
      </c>
      <c r="C13" t="s">
        <v>70</v>
      </c>
      <c r="D13" t="s">
        <v>75</v>
      </c>
      <c r="E13" t="s">
        <v>42</v>
      </c>
      <c r="F13">
        <v>242669</v>
      </c>
      <c r="G13">
        <v>6</v>
      </c>
      <c r="H13" t="s">
        <v>58</v>
      </c>
    </row>
    <row r="14" spans="1:8">
      <c r="A14" t="s">
        <v>76</v>
      </c>
      <c r="B14" t="s">
        <v>74</v>
      </c>
      <c r="C14" t="s">
        <v>70</v>
      </c>
      <c r="D14" t="s">
        <v>54</v>
      </c>
      <c r="E14" t="s">
        <v>47</v>
      </c>
      <c r="F14">
        <v>364238</v>
      </c>
      <c r="G14">
        <v>7</v>
      </c>
      <c r="H14" t="s">
        <v>55</v>
      </c>
    </row>
    <row r="15" spans="1:8">
      <c r="A15" t="s">
        <v>77</v>
      </c>
      <c r="B15" t="s">
        <v>39</v>
      </c>
      <c r="C15" t="s">
        <v>53</v>
      </c>
      <c r="D15" t="s">
        <v>78</v>
      </c>
      <c r="E15" t="s">
        <v>42</v>
      </c>
      <c r="F15">
        <v>215724</v>
      </c>
      <c r="G15">
        <v>9</v>
      </c>
      <c r="H15" t="s">
        <v>65</v>
      </c>
    </row>
    <row r="16" spans="1:8">
      <c r="A16" t="s">
        <v>79</v>
      </c>
      <c r="B16" t="s">
        <v>74</v>
      </c>
      <c r="C16" t="s">
        <v>45</v>
      </c>
      <c r="D16" t="s">
        <v>75</v>
      </c>
      <c r="E16" t="s">
        <v>47</v>
      </c>
      <c r="F16">
        <v>301679</v>
      </c>
      <c r="G16">
        <v>10</v>
      </c>
      <c r="H16" t="s">
        <v>48</v>
      </c>
    </row>
    <row r="17" spans="1:8">
      <c r="A17" t="s">
        <v>80</v>
      </c>
      <c r="B17" t="s">
        <v>57</v>
      </c>
      <c r="C17" t="s">
        <v>40</v>
      </c>
      <c r="D17" t="s">
        <v>78</v>
      </c>
      <c r="E17" t="s">
        <v>47</v>
      </c>
      <c r="F17">
        <v>243689</v>
      </c>
      <c r="G17">
        <v>3</v>
      </c>
      <c r="H17" t="s">
        <v>58</v>
      </c>
    </row>
    <row r="18" spans="1:8">
      <c r="A18" t="s">
        <v>81</v>
      </c>
      <c r="B18" t="s">
        <v>60</v>
      </c>
      <c r="C18" t="s">
        <v>40</v>
      </c>
      <c r="D18" t="s">
        <v>41</v>
      </c>
      <c r="E18" t="s">
        <v>42</v>
      </c>
      <c r="F18">
        <v>465805</v>
      </c>
      <c r="G18">
        <v>10</v>
      </c>
      <c r="H18" t="s">
        <v>48</v>
      </c>
    </row>
    <row r="19" spans="1:8">
      <c r="A19" t="s">
        <v>82</v>
      </c>
      <c r="B19" t="s">
        <v>74</v>
      </c>
      <c r="C19" t="s">
        <v>45</v>
      </c>
      <c r="D19" t="s">
        <v>46</v>
      </c>
      <c r="E19" t="s">
        <v>47</v>
      </c>
      <c r="F19">
        <v>414186</v>
      </c>
      <c r="G19">
        <v>7</v>
      </c>
      <c r="H19" t="s">
        <v>65</v>
      </c>
    </row>
    <row r="20" spans="1:8">
      <c r="A20" t="s">
        <v>83</v>
      </c>
      <c r="B20" t="s">
        <v>84</v>
      </c>
      <c r="C20" t="s">
        <v>70</v>
      </c>
      <c r="D20" t="s">
        <v>46</v>
      </c>
      <c r="E20" t="s">
        <v>47</v>
      </c>
      <c r="F20">
        <v>282557</v>
      </c>
      <c r="G20">
        <v>9</v>
      </c>
      <c r="H20" t="s">
        <v>55</v>
      </c>
    </row>
    <row r="21" spans="1:8">
      <c r="A21" t="s">
        <v>85</v>
      </c>
      <c r="B21" t="s">
        <v>63</v>
      </c>
      <c r="C21" t="s">
        <v>70</v>
      </c>
      <c r="D21" t="s">
        <v>86</v>
      </c>
      <c r="E21" t="s">
        <v>42</v>
      </c>
      <c r="F21">
        <v>330692</v>
      </c>
      <c r="G21">
        <v>10</v>
      </c>
      <c r="H21" t="s">
        <v>58</v>
      </c>
    </row>
    <row r="22" spans="1:8">
      <c r="A22" t="s">
        <v>87</v>
      </c>
      <c r="B22" t="s">
        <v>74</v>
      </c>
      <c r="C22" t="s">
        <v>53</v>
      </c>
      <c r="D22" t="s">
        <v>54</v>
      </c>
      <c r="E22" t="s">
        <v>42</v>
      </c>
      <c r="F22">
        <v>334719</v>
      </c>
      <c r="G22">
        <v>4</v>
      </c>
      <c r="H22" t="s">
        <v>43</v>
      </c>
    </row>
    <row r="23" spans="1:8">
      <c r="A23" t="s">
        <v>88</v>
      </c>
      <c r="B23" t="s">
        <v>39</v>
      </c>
      <c r="C23" t="s">
        <v>51</v>
      </c>
      <c r="D23" t="s">
        <v>89</v>
      </c>
      <c r="E23" t="s">
        <v>47</v>
      </c>
      <c r="F23">
        <v>237212</v>
      </c>
      <c r="G23">
        <v>5</v>
      </c>
      <c r="H23" t="s">
        <v>58</v>
      </c>
    </row>
    <row r="24" spans="1:8">
      <c r="A24" t="s">
        <v>90</v>
      </c>
      <c r="B24" t="s">
        <v>50</v>
      </c>
      <c r="C24" t="s">
        <v>53</v>
      </c>
      <c r="D24" t="s">
        <v>61</v>
      </c>
      <c r="E24" t="s">
        <v>47</v>
      </c>
      <c r="F24">
        <v>382250</v>
      </c>
      <c r="G24">
        <v>1</v>
      </c>
      <c r="H24" t="s">
        <v>58</v>
      </c>
    </row>
    <row r="25" spans="1:8">
      <c r="A25" t="s">
        <v>91</v>
      </c>
      <c r="B25" t="s">
        <v>69</v>
      </c>
      <c r="C25" t="s">
        <v>40</v>
      </c>
      <c r="D25" t="s">
        <v>75</v>
      </c>
      <c r="E25" t="s">
        <v>47</v>
      </c>
      <c r="F25">
        <v>422408</v>
      </c>
      <c r="G25">
        <v>9</v>
      </c>
      <c r="H25" t="s">
        <v>58</v>
      </c>
    </row>
    <row r="26" spans="1:8">
      <c r="A26" t="s">
        <v>92</v>
      </c>
      <c r="B26" t="s">
        <v>93</v>
      </c>
      <c r="C26" t="s">
        <v>70</v>
      </c>
      <c r="D26" t="s">
        <v>78</v>
      </c>
      <c r="E26" t="s">
        <v>42</v>
      </c>
      <c r="F26">
        <v>291740</v>
      </c>
      <c r="G26">
        <v>1</v>
      </c>
      <c r="H26" t="s">
        <v>58</v>
      </c>
    </row>
    <row r="27" spans="1:8">
      <c r="A27" t="s">
        <v>94</v>
      </c>
      <c r="B27" t="s">
        <v>50</v>
      </c>
      <c r="C27" t="s">
        <v>70</v>
      </c>
      <c r="D27" t="s">
        <v>89</v>
      </c>
      <c r="E27" t="s">
        <v>47</v>
      </c>
      <c r="F27">
        <v>417509</v>
      </c>
      <c r="G27">
        <v>7</v>
      </c>
      <c r="H27" t="s">
        <v>65</v>
      </c>
    </row>
    <row r="28" spans="1:8">
      <c r="A28" t="s">
        <v>95</v>
      </c>
      <c r="B28" t="s">
        <v>50</v>
      </c>
      <c r="C28" t="s">
        <v>51</v>
      </c>
      <c r="D28" t="s">
        <v>46</v>
      </c>
      <c r="E28" t="s">
        <v>42</v>
      </c>
      <c r="F28">
        <v>450750</v>
      </c>
      <c r="G28">
        <v>4</v>
      </c>
      <c r="H28" t="s">
        <v>43</v>
      </c>
    </row>
    <row r="29" spans="1:8">
      <c r="A29" t="s">
        <v>96</v>
      </c>
      <c r="B29" t="s">
        <v>69</v>
      </c>
      <c r="C29" t="s">
        <v>70</v>
      </c>
      <c r="D29" t="s">
        <v>89</v>
      </c>
      <c r="E29" t="s">
        <v>42</v>
      </c>
      <c r="F29">
        <v>281642</v>
      </c>
      <c r="G29">
        <v>5</v>
      </c>
      <c r="H29" t="s">
        <v>55</v>
      </c>
    </row>
    <row r="30" spans="1:8">
      <c r="A30" t="s">
        <v>97</v>
      </c>
      <c r="B30" t="s">
        <v>63</v>
      </c>
      <c r="C30" t="s">
        <v>51</v>
      </c>
      <c r="D30" t="s">
        <v>61</v>
      </c>
      <c r="E30" t="s">
        <v>47</v>
      </c>
      <c r="F30">
        <v>291645</v>
      </c>
      <c r="G30">
        <v>10</v>
      </c>
      <c r="H30" t="s">
        <v>43</v>
      </c>
    </row>
    <row r="31" spans="1:8">
      <c r="A31" t="s">
        <v>98</v>
      </c>
      <c r="B31" t="s">
        <v>57</v>
      </c>
      <c r="C31" t="s">
        <v>40</v>
      </c>
      <c r="D31" t="s">
        <v>61</v>
      </c>
      <c r="E31" t="s">
        <v>47</v>
      </c>
      <c r="F31">
        <v>309288</v>
      </c>
      <c r="G31">
        <v>7</v>
      </c>
      <c r="H31" t="s">
        <v>58</v>
      </c>
    </row>
    <row r="32" spans="1:8">
      <c r="A32" t="s">
        <v>99</v>
      </c>
      <c r="B32" t="s">
        <v>57</v>
      </c>
      <c r="C32" t="s">
        <v>70</v>
      </c>
      <c r="D32" t="s">
        <v>46</v>
      </c>
      <c r="E32" t="s">
        <v>42</v>
      </c>
      <c r="F32">
        <v>271687</v>
      </c>
      <c r="G32">
        <v>10</v>
      </c>
      <c r="H32" t="s">
        <v>58</v>
      </c>
    </row>
    <row r="33" spans="1:8">
      <c r="A33" t="s">
        <v>100</v>
      </c>
      <c r="B33" t="s">
        <v>50</v>
      </c>
      <c r="C33" t="s">
        <v>40</v>
      </c>
      <c r="D33" t="s">
        <v>61</v>
      </c>
      <c r="E33" t="s">
        <v>42</v>
      </c>
      <c r="F33">
        <v>365101</v>
      </c>
      <c r="G33">
        <v>9</v>
      </c>
      <c r="H33" t="s">
        <v>55</v>
      </c>
    </row>
    <row r="34" spans="1:8">
      <c r="A34" t="s">
        <v>101</v>
      </c>
      <c r="B34" t="s">
        <v>93</v>
      </c>
      <c r="C34" t="s">
        <v>40</v>
      </c>
      <c r="D34" t="s">
        <v>89</v>
      </c>
      <c r="E34" t="s">
        <v>42</v>
      </c>
      <c r="F34">
        <v>472149</v>
      </c>
      <c r="G34">
        <v>7</v>
      </c>
      <c r="H34" t="s">
        <v>65</v>
      </c>
    </row>
    <row r="35" spans="1:8">
      <c r="A35" t="s">
        <v>102</v>
      </c>
      <c r="B35" t="s">
        <v>57</v>
      </c>
      <c r="C35" t="s">
        <v>51</v>
      </c>
      <c r="D35" t="s">
        <v>89</v>
      </c>
      <c r="E35" t="s">
        <v>42</v>
      </c>
      <c r="F35">
        <v>408551</v>
      </c>
      <c r="G35">
        <v>7</v>
      </c>
      <c r="H35" t="s">
        <v>65</v>
      </c>
    </row>
    <row r="36" spans="1:8">
      <c r="A36" t="s">
        <v>103</v>
      </c>
      <c r="B36" t="s">
        <v>93</v>
      </c>
      <c r="C36" t="s">
        <v>51</v>
      </c>
      <c r="D36" t="s">
        <v>89</v>
      </c>
      <c r="E36" t="s">
        <v>47</v>
      </c>
      <c r="F36">
        <v>334912</v>
      </c>
      <c r="G36">
        <v>2</v>
      </c>
      <c r="H36" t="s">
        <v>65</v>
      </c>
    </row>
    <row r="37" spans="1:8">
      <c r="A37" t="s">
        <v>104</v>
      </c>
      <c r="B37" t="s">
        <v>74</v>
      </c>
      <c r="C37" t="s">
        <v>53</v>
      </c>
      <c r="D37" t="s">
        <v>54</v>
      </c>
      <c r="E37" t="s">
        <v>47</v>
      </c>
      <c r="F37">
        <v>311844</v>
      </c>
      <c r="G37">
        <v>8</v>
      </c>
      <c r="H37" t="s">
        <v>55</v>
      </c>
    </row>
    <row r="38" spans="1:8">
      <c r="A38" t="s">
        <v>105</v>
      </c>
      <c r="B38" t="s">
        <v>69</v>
      </c>
      <c r="C38" t="s">
        <v>45</v>
      </c>
      <c r="D38" t="s">
        <v>41</v>
      </c>
      <c r="E38" t="s">
        <v>47</v>
      </c>
      <c r="F38">
        <v>222804</v>
      </c>
      <c r="G38">
        <v>8</v>
      </c>
      <c r="H38" t="s">
        <v>55</v>
      </c>
    </row>
    <row r="39" spans="1:8">
      <c r="A39" t="s">
        <v>106</v>
      </c>
      <c r="B39" t="s">
        <v>39</v>
      </c>
      <c r="C39" t="s">
        <v>53</v>
      </c>
      <c r="D39" t="s">
        <v>78</v>
      </c>
      <c r="E39" t="s">
        <v>42</v>
      </c>
      <c r="F39">
        <v>202674</v>
      </c>
      <c r="G39">
        <v>4</v>
      </c>
      <c r="H39" t="s">
        <v>43</v>
      </c>
    </row>
    <row r="40" spans="1:8">
      <c r="A40" t="s">
        <v>107</v>
      </c>
      <c r="B40" t="s">
        <v>39</v>
      </c>
      <c r="C40" t="s">
        <v>40</v>
      </c>
      <c r="D40" t="s">
        <v>75</v>
      </c>
      <c r="E40" t="s">
        <v>42</v>
      </c>
      <c r="F40">
        <v>481535</v>
      </c>
      <c r="G40">
        <v>10</v>
      </c>
      <c r="H40" t="s">
        <v>55</v>
      </c>
    </row>
    <row r="41" spans="1:8">
      <c r="A41" t="s">
        <v>108</v>
      </c>
      <c r="B41" t="s">
        <v>63</v>
      </c>
      <c r="C41" t="s">
        <v>53</v>
      </c>
      <c r="D41" t="s">
        <v>54</v>
      </c>
      <c r="E41" t="s">
        <v>47</v>
      </c>
      <c r="F41">
        <v>338509</v>
      </c>
      <c r="G41">
        <v>1</v>
      </c>
      <c r="H41" t="s">
        <v>58</v>
      </c>
    </row>
    <row r="42" spans="1:8">
      <c r="A42" t="s">
        <v>109</v>
      </c>
      <c r="B42" t="s">
        <v>39</v>
      </c>
      <c r="C42" t="s">
        <v>51</v>
      </c>
      <c r="D42" t="s">
        <v>54</v>
      </c>
      <c r="E42" t="s">
        <v>42</v>
      </c>
      <c r="F42">
        <v>234031</v>
      </c>
      <c r="G42">
        <v>10</v>
      </c>
      <c r="H42" t="s">
        <v>48</v>
      </c>
    </row>
    <row r="43" spans="1:8">
      <c r="A43" t="s">
        <v>110</v>
      </c>
      <c r="B43" t="s">
        <v>50</v>
      </c>
      <c r="C43" t="s">
        <v>51</v>
      </c>
      <c r="D43" t="s">
        <v>61</v>
      </c>
      <c r="E43" t="s">
        <v>47</v>
      </c>
      <c r="F43">
        <v>265908</v>
      </c>
      <c r="G43">
        <v>7</v>
      </c>
      <c r="H43" t="s">
        <v>48</v>
      </c>
    </row>
    <row r="44" spans="1:8">
      <c r="A44" t="s">
        <v>111</v>
      </c>
      <c r="B44" t="s">
        <v>74</v>
      </c>
      <c r="C44" t="s">
        <v>40</v>
      </c>
      <c r="D44" t="s">
        <v>41</v>
      </c>
      <c r="E44" t="s">
        <v>47</v>
      </c>
      <c r="F44">
        <v>338554</v>
      </c>
      <c r="G44">
        <v>1</v>
      </c>
      <c r="H44" t="s">
        <v>48</v>
      </c>
    </row>
    <row r="45" spans="1:8">
      <c r="A45" t="s">
        <v>112</v>
      </c>
      <c r="B45" t="s">
        <v>50</v>
      </c>
      <c r="C45" t="s">
        <v>45</v>
      </c>
      <c r="D45" t="s">
        <v>78</v>
      </c>
      <c r="E45" t="s">
        <v>47</v>
      </c>
      <c r="F45">
        <v>413957</v>
      </c>
      <c r="G45">
        <v>3</v>
      </c>
      <c r="H45" t="s">
        <v>58</v>
      </c>
    </row>
    <row r="46" spans="1:8">
      <c r="A46" t="s">
        <v>113</v>
      </c>
      <c r="B46" t="s">
        <v>39</v>
      </c>
      <c r="C46" t="s">
        <v>70</v>
      </c>
      <c r="D46" t="s">
        <v>41</v>
      </c>
      <c r="E46" t="s">
        <v>42</v>
      </c>
      <c r="F46">
        <v>485264</v>
      </c>
      <c r="G46">
        <v>1</v>
      </c>
      <c r="H46" t="s">
        <v>55</v>
      </c>
    </row>
    <row r="47" spans="1:8">
      <c r="A47" t="s">
        <v>114</v>
      </c>
      <c r="B47" t="s">
        <v>74</v>
      </c>
      <c r="C47" t="s">
        <v>51</v>
      </c>
      <c r="D47" t="s">
        <v>78</v>
      </c>
      <c r="E47" t="s">
        <v>42</v>
      </c>
      <c r="F47">
        <v>363350</v>
      </c>
      <c r="G47">
        <v>1</v>
      </c>
      <c r="H47" t="s">
        <v>48</v>
      </c>
    </row>
    <row r="48" spans="1:8">
      <c r="A48" t="s">
        <v>115</v>
      </c>
      <c r="B48" t="s">
        <v>60</v>
      </c>
      <c r="C48" t="s">
        <v>70</v>
      </c>
      <c r="D48" t="s">
        <v>46</v>
      </c>
      <c r="E48" t="s">
        <v>42</v>
      </c>
      <c r="F48">
        <v>428005</v>
      </c>
      <c r="G48">
        <v>4</v>
      </c>
      <c r="H48" t="s">
        <v>55</v>
      </c>
    </row>
    <row r="49" spans="1:8">
      <c r="A49" t="s">
        <v>116</v>
      </c>
      <c r="B49" t="s">
        <v>117</v>
      </c>
      <c r="C49" t="s">
        <v>70</v>
      </c>
      <c r="D49" t="s">
        <v>61</v>
      </c>
      <c r="E49" t="s">
        <v>47</v>
      </c>
      <c r="F49">
        <v>326652</v>
      </c>
      <c r="G49">
        <v>6</v>
      </c>
      <c r="H49" t="s">
        <v>55</v>
      </c>
    </row>
    <row r="50" spans="1:8">
      <c r="A50" t="s">
        <v>118</v>
      </c>
      <c r="B50" t="s">
        <v>39</v>
      </c>
      <c r="C50" t="s">
        <v>70</v>
      </c>
      <c r="D50" t="s">
        <v>78</v>
      </c>
      <c r="E50" t="s">
        <v>47</v>
      </c>
      <c r="F50">
        <v>421377</v>
      </c>
      <c r="G50">
        <v>4</v>
      </c>
      <c r="H50" t="s">
        <v>43</v>
      </c>
    </row>
    <row r="51" spans="1:8">
      <c r="A51" t="s">
        <v>119</v>
      </c>
      <c r="B51" t="s">
        <v>117</v>
      </c>
      <c r="C51" t="s">
        <v>53</v>
      </c>
      <c r="D51" t="s">
        <v>46</v>
      </c>
      <c r="E51" t="s">
        <v>42</v>
      </c>
      <c r="F51">
        <v>433017</v>
      </c>
      <c r="G51">
        <v>3</v>
      </c>
      <c r="H51" t="s">
        <v>48</v>
      </c>
    </row>
    <row r="52" spans="1:8">
      <c r="A52" t="s">
        <v>120</v>
      </c>
      <c r="B52" t="s">
        <v>63</v>
      </c>
      <c r="C52" t="s">
        <v>70</v>
      </c>
      <c r="D52" t="s">
        <v>75</v>
      </c>
      <c r="E52" t="s">
        <v>42</v>
      </c>
      <c r="F52">
        <v>353050</v>
      </c>
      <c r="G52">
        <v>7</v>
      </c>
      <c r="H52" t="s">
        <v>55</v>
      </c>
    </row>
    <row r="53" spans="1:8">
      <c r="A53" t="s">
        <v>121</v>
      </c>
      <c r="B53" t="s">
        <v>93</v>
      </c>
      <c r="C53" t="s">
        <v>40</v>
      </c>
      <c r="D53" t="s">
        <v>46</v>
      </c>
      <c r="E53" t="s">
        <v>42</v>
      </c>
      <c r="F53">
        <v>450941</v>
      </c>
      <c r="G53">
        <v>3</v>
      </c>
      <c r="H53" t="s">
        <v>55</v>
      </c>
    </row>
    <row r="54" spans="1:8">
      <c r="A54" t="s">
        <v>122</v>
      </c>
      <c r="B54" t="s">
        <v>50</v>
      </c>
      <c r="C54" t="s">
        <v>53</v>
      </c>
      <c r="D54" t="s">
        <v>75</v>
      </c>
      <c r="E54" t="s">
        <v>42</v>
      </c>
      <c r="F54">
        <v>337560</v>
      </c>
      <c r="G54">
        <v>2</v>
      </c>
      <c r="H54" t="s">
        <v>48</v>
      </c>
    </row>
    <row r="55" spans="1:8">
      <c r="A55" t="s">
        <v>123</v>
      </c>
      <c r="B55" t="s">
        <v>39</v>
      </c>
      <c r="C55" t="s">
        <v>51</v>
      </c>
      <c r="D55" t="s">
        <v>89</v>
      </c>
      <c r="E55" t="s">
        <v>47</v>
      </c>
      <c r="F55">
        <v>325849</v>
      </c>
      <c r="G55">
        <v>2</v>
      </c>
      <c r="H55" t="s">
        <v>58</v>
      </c>
    </row>
    <row r="56" spans="1:8">
      <c r="A56" t="s">
        <v>124</v>
      </c>
      <c r="B56" t="s">
        <v>117</v>
      </c>
      <c r="C56" t="s">
        <v>45</v>
      </c>
      <c r="D56" t="s">
        <v>89</v>
      </c>
      <c r="E56" t="s">
        <v>47</v>
      </c>
      <c r="F56">
        <v>252488</v>
      </c>
      <c r="G56">
        <v>5</v>
      </c>
      <c r="H56" t="s">
        <v>55</v>
      </c>
    </row>
    <row r="57" spans="1:8">
      <c r="A57" t="s">
        <v>125</v>
      </c>
      <c r="B57" t="s">
        <v>117</v>
      </c>
      <c r="C57" t="s">
        <v>53</v>
      </c>
      <c r="D57" t="s">
        <v>72</v>
      </c>
      <c r="E57" t="s">
        <v>47</v>
      </c>
      <c r="F57">
        <v>261616</v>
      </c>
      <c r="G57">
        <v>2</v>
      </c>
      <c r="H57" t="s">
        <v>48</v>
      </c>
    </row>
    <row r="58" spans="1:8">
      <c r="A58" t="s">
        <v>126</v>
      </c>
      <c r="B58" t="s">
        <v>63</v>
      </c>
      <c r="C58" t="s">
        <v>45</v>
      </c>
      <c r="D58" t="s">
        <v>72</v>
      </c>
      <c r="E58" t="s">
        <v>42</v>
      </c>
      <c r="F58">
        <v>296968</v>
      </c>
      <c r="G58">
        <v>4</v>
      </c>
      <c r="H58" t="s">
        <v>48</v>
      </c>
    </row>
    <row r="59" spans="1:8">
      <c r="A59" t="s">
        <v>127</v>
      </c>
      <c r="B59" t="s">
        <v>117</v>
      </c>
      <c r="C59" t="s">
        <v>40</v>
      </c>
      <c r="D59" t="s">
        <v>72</v>
      </c>
      <c r="E59" t="s">
        <v>47</v>
      </c>
      <c r="F59">
        <v>369656</v>
      </c>
      <c r="G59">
        <v>8</v>
      </c>
      <c r="H59" t="s">
        <v>55</v>
      </c>
    </row>
    <row r="60" spans="1:8">
      <c r="A60" t="s">
        <v>128</v>
      </c>
      <c r="B60" t="s">
        <v>93</v>
      </c>
      <c r="C60" t="s">
        <v>45</v>
      </c>
      <c r="D60" t="s">
        <v>61</v>
      </c>
      <c r="E60" t="s">
        <v>42</v>
      </c>
      <c r="F60">
        <v>385249</v>
      </c>
      <c r="G60">
        <v>3</v>
      </c>
      <c r="H60" t="s">
        <v>48</v>
      </c>
    </row>
    <row r="61" spans="1:8">
      <c r="A61" t="s">
        <v>129</v>
      </c>
      <c r="B61" t="s">
        <v>50</v>
      </c>
      <c r="C61" t="s">
        <v>40</v>
      </c>
      <c r="D61" t="s">
        <v>89</v>
      </c>
      <c r="E61" t="s">
        <v>42</v>
      </c>
      <c r="F61">
        <v>485946</v>
      </c>
      <c r="G61">
        <v>4</v>
      </c>
      <c r="H61" t="s">
        <v>58</v>
      </c>
    </row>
    <row r="62" spans="1:8">
      <c r="A62" t="s">
        <v>130</v>
      </c>
      <c r="B62" t="s">
        <v>93</v>
      </c>
      <c r="C62" t="s">
        <v>53</v>
      </c>
      <c r="D62" t="s">
        <v>46</v>
      </c>
      <c r="E62" t="s">
        <v>47</v>
      </c>
      <c r="F62">
        <v>481575</v>
      </c>
      <c r="G62">
        <v>3</v>
      </c>
      <c r="H62" t="s">
        <v>48</v>
      </c>
    </row>
    <row r="63" spans="1:8">
      <c r="A63" t="s">
        <v>131</v>
      </c>
      <c r="B63" t="s">
        <v>74</v>
      </c>
      <c r="C63" t="s">
        <v>40</v>
      </c>
      <c r="D63" t="s">
        <v>46</v>
      </c>
      <c r="E63" t="s">
        <v>47</v>
      </c>
      <c r="F63">
        <v>345273</v>
      </c>
      <c r="G63">
        <v>6</v>
      </c>
      <c r="H63" t="s">
        <v>48</v>
      </c>
    </row>
    <row r="64" spans="1:8">
      <c r="A64" t="s">
        <v>132</v>
      </c>
      <c r="B64" t="s">
        <v>84</v>
      </c>
      <c r="C64" t="s">
        <v>40</v>
      </c>
      <c r="D64" t="s">
        <v>67</v>
      </c>
      <c r="E64" t="s">
        <v>47</v>
      </c>
      <c r="F64">
        <v>201172</v>
      </c>
      <c r="G64">
        <v>8</v>
      </c>
      <c r="H64" t="s">
        <v>58</v>
      </c>
    </row>
    <row r="65" spans="1:8">
      <c r="A65" t="s">
        <v>133</v>
      </c>
      <c r="B65" t="s">
        <v>60</v>
      </c>
      <c r="C65" t="s">
        <v>45</v>
      </c>
      <c r="D65" t="s">
        <v>54</v>
      </c>
      <c r="E65" t="s">
        <v>47</v>
      </c>
      <c r="F65">
        <v>321800</v>
      </c>
      <c r="G65">
        <v>7</v>
      </c>
      <c r="H65" t="s">
        <v>43</v>
      </c>
    </row>
    <row r="66" spans="1:8">
      <c r="A66" t="s">
        <v>134</v>
      </c>
      <c r="B66" t="s">
        <v>57</v>
      </c>
      <c r="C66" t="s">
        <v>51</v>
      </c>
      <c r="D66" t="s">
        <v>86</v>
      </c>
      <c r="E66" t="s">
        <v>47</v>
      </c>
      <c r="F66">
        <v>478662</v>
      </c>
      <c r="G66">
        <v>2</v>
      </c>
      <c r="H66" t="s">
        <v>58</v>
      </c>
    </row>
    <row r="67" spans="1:8">
      <c r="A67" t="s">
        <v>135</v>
      </c>
      <c r="B67" t="s">
        <v>63</v>
      </c>
      <c r="C67" t="s">
        <v>70</v>
      </c>
      <c r="D67" t="s">
        <v>86</v>
      </c>
      <c r="E67" t="s">
        <v>47</v>
      </c>
      <c r="F67">
        <v>447144</v>
      </c>
      <c r="G67">
        <v>10</v>
      </c>
      <c r="H67" t="s">
        <v>65</v>
      </c>
    </row>
    <row r="68" spans="1:8">
      <c r="A68" t="s">
        <v>136</v>
      </c>
      <c r="B68" t="s">
        <v>50</v>
      </c>
      <c r="C68" t="s">
        <v>53</v>
      </c>
      <c r="D68" t="s">
        <v>75</v>
      </c>
      <c r="E68" t="s">
        <v>47</v>
      </c>
      <c r="F68">
        <v>367942</v>
      </c>
      <c r="G68">
        <v>8</v>
      </c>
      <c r="H68" t="s">
        <v>43</v>
      </c>
    </row>
    <row r="69" spans="1:8">
      <c r="A69" t="s">
        <v>137</v>
      </c>
      <c r="B69" t="s">
        <v>93</v>
      </c>
      <c r="C69" t="s">
        <v>51</v>
      </c>
      <c r="D69" t="s">
        <v>89</v>
      </c>
      <c r="E69" t="s">
        <v>42</v>
      </c>
      <c r="F69">
        <v>225459</v>
      </c>
      <c r="G69">
        <v>2</v>
      </c>
      <c r="H69" t="s">
        <v>58</v>
      </c>
    </row>
    <row r="70" spans="1:8">
      <c r="A70" t="s">
        <v>138</v>
      </c>
      <c r="B70" t="s">
        <v>60</v>
      </c>
      <c r="C70" t="s">
        <v>40</v>
      </c>
      <c r="D70" t="s">
        <v>86</v>
      </c>
      <c r="E70" t="s">
        <v>42</v>
      </c>
      <c r="F70">
        <v>334185</v>
      </c>
      <c r="G70">
        <v>2</v>
      </c>
      <c r="H70" t="s">
        <v>43</v>
      </c>
    </row>
    <row r="71" spans="1:8">
      <c r="A71" t="s">
        <v>139</v>
      </c>
      <c r="B71" t="s">
        <v>74</v>
      </c>
      <c r="C71" t="s">
        <v>40</v>
      </c>
      <c r="D71" t="s">
        <v>89</v>
      </c>
      <c r="E71" t="s">
        <v>47</v>
      </c>
      <c r="F71">
        <v>329104</v>
      </c>
      <c r="G71">
        <v>2</v>
      </c>
      <c r="H71" t="s">
        <v>55</v>
      </c>
    </row>
    <row r="72" spans="1:8">
      <c r="A72" t="s">
        <v>140</v>
      </c>
      <c r="B72" t="s">
        <v>57</v>
      </c>
      <c r="C72" t="s">
        <v>40</v>
      </c>
      <c r="D72" t="s">
        <v>41</v>
      </c>
      <c r="E72" t="s">
        <v>47</v>
      </c>
      <c r="F72">
        <v>253559</v>
      </c>
      <c r="G72">
        <v>4</v>
      </c>
      <c r="H72" t="s">
        <v>65</v>
      </c>
    </row>
    <row r="73" spans="1:8">
      <c r="A73" t="s">
        <v>141</v>
      </c>
      <c r="B73" t="s">
        <v>57</v>
      </c>
      <c r="C73" t="s">
        <v>45</v>
      </c>
      <c r="D73" t="s">
        <v>41</v>
      </c>
      <c r="E73" t="s">
        <v>42</v>
      </c>
      <c r="F73">
        <v>203632</v>
      </c>
      <c r="G73">
        <v>4</v>
      </c>
      <c r="H73" t="s">
        <v>48</v>
      </c>
    </row>
    <row r="74" spans="1:8">
      <c r="A74" t="s">
        <v>142</v>
      </c>
      <c r="B74" t="s">
        <v>39</v>
      </c>
      <c r="C74" t="s">
        <v>40</v>
      </c>
      <c r="D74" t="s">
        <v>72</v>
      </c>
      <c r="E74" t="s">
        <v>47</v>
      </c>
      <c r="F74">
        <v>404012</v>
      </c>
      <c r="G74">
        <v>7</v>
      </c>
      <c r="H74" t="s">
        <v>58</v>
      </c>
    </row>
    <row r="75" spans="1:8">
      <c r="A75" t="s">
        <v>143</v>
      </c>
      <c r="B75" t="s">
        <v>84</v>
      </c>
      <c r="C75" t="s">
        <v>40</v>
      </c>
      <c r="D75" t="s">
        <v>89</v>
      </c>
      <c r="E75" t="s">
        <v>42</v>
      </c>
      <c r="F75">
        <v>493395</v>
      </c>
      <c r="G75">
        <v>4</v>
      </c>
      <c r="H75" t="s">
        <v>43</v>
      </c>
    </row>
    <row r="76" spans="1:8">
      <c r="A76" t="s">
        <v>144</v>
      </c>
      <c r="B76" t="s">
        <v>57</v>
      </c>
      <c r="C76" t="s">
        <v>51</v>
      </c>
      <c r="D76" t="s">
        <v>72</v>
      </c>
      <c r="E76" t="s">
        <v>42</v>
      </c>
      <c r="F76">
        <v>372679</v>
      </c>
      <c r="G76">
        <v>2</v>
      </c>
      <c r="H76" t="s">
        <v>43</v>
      </c>
    </row>
    <row r="77" spans="1:8">
      <c r="A77" t="s">
        <v>145</v>
      </c>
      <c r="B77" t="s">
        <v>50</v>
      </c>
      <c r="C77" t="s">
        <v>70</v>
      </c>
      <c r="D77" t="s">
        <v>46</v>
      </c>
      <c r="E77" t="s">
        <v>47</v>
      </c>
      <c r="F77">
        <v>464770</v>
      </c>
      <c r="G77">
        <v>9</v>
      </c>
      <c r="H77" t="s">
        <v>43</v>
      </c>
    </row>
    <row r="78" spans="1:8">
      <c r="A78" t="s">
        <v>146</v>
      </c>
      <c r="B78" t="s">
        <v>84</v>
      </c>
      <c r="C78" t="s">
        <v>51</v>
      </c>
      <c r="D78" t="s">
        <v>86</v>
      </c>
      <c r="E78" t="s">
        <v>47</v>
      </c>
      <c r="F78">
        <v>360225</v>
      </c>
      <c r="G78">
        <v>3</v>
      </c>
      <c r="H78" t="s">
        <v>48</v>
      </c>
    </row>
    <row r="79" spans="1:8">
      <c r="A79" t="s">
        <v>147</v>
      </c>
      <c r="B79" t="s">
        <v>57</v>
      </c>
      <c r="C79" t="s">
        <v>40</v>
      </c>
      <c r="D79" t="s">
        <v>75</v>
      </c>
      <c r="E79" t="s">
        <v>42</v>
      </c>
      <c r="F79">
        <v>422249</v>
      </c>
      <c r="G79">
        <v>10</v>
      </c>
      <c r="H79" t="s">
        <v>65</v>
      </c>
    </row>
    <row r="80" spans="1:8">
      <c r="A80" t="s">
        <v>148</v>
      </c>
      <c r="B80" t="s">
        <v>60</v>
      </c>
      <c r="C80" t="s">
        <v>51</v>
      </c>
      <c r="D80" t="s">
        <v>89</v>
      </c>
      <c r="E80" t="s">
        <v>47</v>
      </c>
      <c r="F80">
        <v>343548</v>
      </c>
      <c r="G80">
        <v>7</v>
      </c>
      <c r="H80" t="s">
        <v>58</v>
      </c>
    </row>
    <row r="81" spans="1:8">
      <c r="A81" t="s">
        <v>149</v>
      </c>
      <c r="B81" t="s">
        <v>74</v>
      </c>
      <c r="C81" t="s">
        <v>45</v>
      </c>
      <c r="D81" t="s">
        <v>46</v>
      </c>
      <c r="E81" t="s">
        <v>42</v>
      </c>
      <c r="F81">
        <v>429470</v>
      </c>
      <c r="G81">
        <v>3</v>
      </c>
      <c r="H81" t="s">
        <v>43</v>
      </c>
    </row>
    <row r="82" spans="1:8">
      <c r="A82" t="s">
        <v>150</v>
      </c>
      <c r="B82" t="s">
        <v>84</v>
      </c>
      <c r="C82" t="s">
        <v>70</v>
      </c>
      <c r="D82" t="s">
        <v>61</v>
      </c>
      <c r="E82" t="s">
        <v>47</v>
      </c>
      <c r="F82">
        <v>228264</v>
      </c>
      <c r="G82">
        <v>5</v>
      </c>
      <c r="H82" t="s">
        <v>58</v>
      </c>
    </row>
    <row r="83" spans="1:8">
      <c r="A83" t="s">
        <v>151</v>
      </c>
      <c r="B83" t="s">
        <v>63</v>
      </c>
      <c r="C83" t="s">
        <v>51</v>
      </c>
      <c r="D83" t="s">
        <v>54</v>
      </c>
      <c r="E83" t="s">
        <v>42</v>
      </c>
      <c r="F83">
        <v>481733</v>
      </c>
      <c r="G83">
        <v>7</v>
      </c>
      <c r="H83" t="s">
        <v>48</v>
      </c>
    </row>
    <row r="84" spans="1:8">
      <c r="A84" t="s">
        <v>152</v>
      </c>
      <c r="B84" t="s">
        <v>63</v>
      </c>
      <c r="C84" t="s">
        <v>40</v>
      </c>
      <c r="D84" t="s">
        <v>41</v>
      </c>
      <c r="E84" t="s">
        <v>42</v>
      </c>
      <c r="F84">
        <v>253954</v>
      </c>
      <c r="G84">
        <v>2</v>
      </c>
      <c r="H84" t="s">
        <v>48</v>
      </c>
    </row>
    <row r="85" spans="1:8">
      <c r="A85" t="s">
        <v>153</v>
      </c>
      <c r="B85" t="s">
        <v>63</v>
      </c>
      <c r="C85" t="s">
        <v>40</v>
      </c>
      <c r="D85" t="s">
        <v>75</v>
      </c>
      <c r="E85" t="s">
        <v>42</v>
      </c>
      <c r="F85">
        <v>338029</v>
      </c>
      <c r="G85">
        <v>6</v>
      </c>
      <c r="H85" t="s">
        <v>65</v>
      </c>
    </row>
    <row r="86" spans="1:8">
      <c r="A86" t="s">
        <v>154</v>
      </c>
      <c r="B86" t="s">
        <v>93</v>
      </c>
      <c r="C86" t="s">
        <v>53</v>
      </c>
      <c r="D86" t="s">
        <v>86</v>
      </c>
      <c r="E86" t="s">
        <v>42</v>
      </c>
      <c r="F86">
        <v>340723</v>
      </c>
      <c r="G86">
        <v>7</v>
      </c>
      <c r="H86" t="s">
        <v>43</v>
      </c>
    </row>
    <row r="87" spans="1:8">
      <c r="A87" t="s">
        <v>155</v>
      </c>
      <c r="B87" t="s">
        <v>50</v>
      </c>
      <c r="C87" t="s">
        <v>45</v>
      </c>
      <c r="D87" t="s">
        <v>41</v>
      </c>
      <c r="E87" t="s">
        <v>42</v>
      </c>
      <c r="F87">
        <v>216138</v>
      </c>
      <c r="G87">
        <v>2</v>
      </c>
      <c r="H87" t="s">
        <v>43</v>
      </c>
    </row>
    <row r="88" spans="1:8">
      <c r="A88" t="s">
        <v>156</v>
      </c>
      <c r="B88" t="s">
        <v>74</v>
      </c>
      <c r="C88" t="s">
        <v>40</v>
      </c>
      <c r="D88" t="s">
        <v>72</v>
      </c>
      <c r="E88" t="s">
        <v>47</v>
      </c>
      <c r="F88">
        <v>490025</v>
      </c>
      <c r="G88">
        <v>8</v>
      </c>
      <c r="H88" t="s">
        <v>48</v>
      </c>
    </row>
    <row r="89" spans="1:8">
      <c r="A89" t="s">
        <v>157</v>
      </c>
      <c r="B89" t="s">
        <v>74</v>
      </c>
      <c r="C89" t="s">
        <v>45</v>
      </c>
      <c r="D89" t="s">
        <v>67</v>
      </c>
      <c r="E89" t="s">
        <v>42</v>
      </c>
      <c r="F89">
        <v>339580</v>
      </c>
      <c r="G89">
        <v>2</v>
      </c>
      <c r="H89" t="s">
        <v>55</v>
      </c>
    </row>
    <row r="90" spans="1:8">
      <c r="A90" t="s">
        <v>158</v>
      </c>
      <c r="B90" t="s">
        <v>57</v>
      </c>
      <c r="C90" t="s">
        <v>70</v>
      </c>
      <c r="D90" t="s">
        <v>75</v>
      </c>
      <c r="E90" t="s">
        <v>47</v>
      </c>
      <c r="F90">
        <v>325782</v>
      </c>
      <c r="G90">
        <v>8</v>
      </c>
      <c r="H90" t="s">
        <v>55</v>
      </c>
    </row>
    <row r="91" spans="1:8">
      <c r="A91" t="s">
        <v>159</v>
      </c>
      <c r="B91" t="s">
        <v>60</v>
      </c>
      <c r="C91" t="s">
        <v>40</v>
      </c>
      <c r="D91" t="s">
        <v>78</v>
      </c>
      <c r="E91" t="s">
        <v>42</v>
      </c>
      <c r="F91">
        <v>397430</v>
      </c>
      <c r="G91">
        <v>10</v>
      </c>
      <c r="H91" t="s">
        <v>58</v>
      </c>
    </row>
    <row r="92" spans="1:8">
      <c r="A92" t="s">
        <v>160</v>
      </c>
      <c r="B92" t="s">
        <v>93</v>
      </c>
      <c r="C92" t="s">
        <v>53</v>
      </c>
      <c r="D92" t="s">
        <v>75</v>
      </c>
      <c r="E92" t="s">
        <v>42</v>
      </c>
      <c r="F92">
        <v>300847</v>
      </c>
      <c r="G92">
        <v>4</v>
      </c>
      <c r="H92" t="s">
        <v>43</v>
      </c>
    </row>
    <row r="93" spans="1:8">
      <c r="A93" t="s">
        <v>161</v>
      </c>
      <c r="B93" t="s">
        <v>63</v>
      </c>
      <c r="C93" t="s">
        <v>40</v>
      </c>
      <c r="D93" t="s">
        <v>46</v>
      </c>
      <c r="E93" t="s">
        <v>42</v>
      </c>
      <c r="F93">
        <v>265948</v>
      </c>
      <c r="G93">
        <v>6</v>
      </c>
      <c r="H93" t="s">
        <v>48</v>
      </c>
    </row>
    <row r="94" spans="1:8">
      <c r="A94" t="s">
        <v>162</v>
      </c>
      <c r="B94" t="s">
        <v>60</v>
      </c>
      <c r="C94" t="s">
        <v>70</v>
      </c>
      <c r="D94" t="s">
        <v>67</v>
      </c>
      <c r="E94" t="s">
        <v>47</v>
      </c>
      <c r="F94">
        <v>341060</v>
      </c>
      <c r="G94">
        <v>7</v>
      </c>
      <c r="H94" t="s">
        <v>65</v>
      </c>
    </row>
    <row r="95" spans="1:8">
      <c r="A95" t="s">
        <v>163</v>
      </c>
      <c r="B95" t="s">
        <v>93</v>
      </c>
      <c r="C95" t="s">
        <v>45</v>
      </c>
      <c r="D95" t="s">
        <v>54</v>
      </c>
      <c r="E95" t="s">
        <v>47</v>
      </c>
      <c r="F95">
        <v>326977</v>
      </c>
      <c r="G95">
        <v>4</v>
      </c>
      <c r="H95" t="s">
        <v>48</v>
      </c>
    </row>
    <row r="96" spans="1:8">
      <c r="A96" t="s">
        <v>164</v>
      </c>
      <c r="B96" t="s">
        <v>60</v>
      </c>
      <c r="C96" t="s">
        <v>40</v>
      </c>
      <c r="D96" t="s">
        <v>41</v>
      </c>
      <c r="E96" t="s">
        <v>42</v>
      </c>
      <c r="F96">
        <v>433031</v>
      </c>
      <c r="G96">
        <v>1</v>
      </c>
      <c r="H96" t="s">
        <v>48</v>
      </c>
    </row>
    <row r="97" spans="1:8">
      <c r="A97" t="s">
        <v>165</v>
      </c>
      <c r="B97" t="s">
        <v>57</v>
      </c>
      <c r="C97" t="s">
        <v>45</v>
      </c>
      <c r="D97" t="s">
        <v>61</v>
      </c>
      <c r="E97" t="s">
        <v>42</v>
      </c>
      <c r="F97">
        <v>421034</v>
      </c>
      <c r="G97">
        <v>3</v>
      </c>
      <c r="H97" t="s">
        <v>55</v>
      </c>
    </row>
    <row r="98" spans="1:8">
      <c r="A98" t="s">
        <v>166</v>
      </c>
      <c r="B98" t="s">
        <v>50</v>
      </c>
      <c r="C98" t="s">
        <v>70</v>
      </c>
      <c r="D98" t="s">
        <v>46</v>
      </c>
      <c r="E98" t="s">
        <v>42</v>
      </c>
      <c r="F98">
        <v>363199</v>
      </c>
      <c r="G98">
        <v>4</v>
      </c>
      <c r="H98" t="s">
        <v>58</v>
      </c>
    </row>
    <row r="99" spans="1:8">
      <c r="A99" t="s">
        <v>167</v>
      </c>
      <c r="B99" t="s">
        <v>60</v>
      </c>
      <c r="C99" t="s">
        <v>45</v>
      </c>
      <c r="D99" t="s">
        <v>75</v>
      </c>
      <c r="E99" t="s">
        <v>42</v>
      </c>
      <c r="F99">
        <v>399940</v>
      </c>
      <c r="G99">
        <v>7</v>
      </c>
      <c r="H99" t="s">
        <v>43</v>
      </c>
    </row>
    <row r="100" spans="1:8">
      <c r="A100" t="s">
        <v>168</v>
      </c>
      <c r="B100" t="s">
        <v>63</v>
      </c>
      <c r="C100" t="s">
        <v>40</v>
      </c>
      <c r="D100" t="s">
        <v>86</v>
      </c>
      <c r="E100" t="s">
        <v>42</v>
      </c>
      <c r="F100">
        <v>231891</v>
      </c>
      <c r="G100">
        <v>4</v>
      </c>
      <c r="H100" t="s">
        <v>58</v>
      </c>
    </row>
    <row r="101" spans="1:8">
      <c r="A101" t="s">
        <v>169</v>
      </c>
      <c r="B101" t="s">
        <v>50</v>
      </c>
      <c r="C101" t="s">
        <v>51</v>
      </c>
      <c r="D101" t="s">
        <v>89</v>
      </c>
      <c r="E101" t="s">
        <v>42</v>
      </c>
      <c r="F101">
        <v>203199</v>
      </c>
      <c r="G101">
        <v>8</v>
      </c>
      <c r="H10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91D8-35B6-4A4F-9125-2EA314AA1B89}">
  <dimension ref="A1:Y108"/>
  <sheetViews>
    <sheetView tabSelected="1" zoomScale="85" zoomScaleNormal="55" workbookViewId="0">
      <selection activeCell="G9" sqref="G9"/>
    </sheetView>
  </sheetViews>
  <sheetFormatPr defaultRowHeight="14.5"/>
  <cols>
    <col min="1" max="1" width="17.08984375" customWidth="1"/>
    <col min="2" max="2" width="19" customWidth="1"/>
    <col min="3" max="3" width="16.90625" customWidth="1"/>
    <col min="4" max="4" width="26.1796875" customWidth="1"/>
    <col min="5" max="6" width="17.36328125" customWidth="1"/>
    <col min="7" max="7" width="21.7265625" customWidth="1"/>
    <col min="8" max="8" width="24.453125" customWidth="1"/>
    <col min="9" max="9" width="22.1796875" customWidth="1"/>
    <col min="10" max="10" width="18.90625" customWidth="1"/>
    <col min="11" max="11" width="16" customWidth="1"/>
    <col min="12" max="12" width="12.81640625" style="7" customWidth="1"/>
    <col min="13" max="13" width="21.1796875" customWidth="1"/>
    <col min="14" max="14" width="15.7265625" customWidth="1"/>
    <col min="15" max="15" width="13.1796875" customWidth="1"/>
    <col min="16" max="16" width="11.81640625" customWidth="1"/>
    <col min="17" max="17" width="58.7265625" customWidth="1"/>
    <col min="18" max="18" width="26.54296875" customWidth="1"/>
    <col min="20" max="20" width="13.453125" customWidth="1"/>
    <col min="21" max="21" width="15.08984375" customWidth="1"/>
    <col min="22" max="22" width="14.453125" customWidth="1"/>
    <col min="23" max="23" width="19.26953125" customWidth="1"/>
    <col min="24" max="24" width="24.08984375" customWidth="1"/>
  </cols>
  <sheetData>
    <row r="1" spans="1:25">
      <c r="A1" s="3" t="s">
        <v>30</v>
      </c>
      <c r="B1" s="3" t="s">
        <v>172</v>
      </c>
      <c r="C1" s="3" t="s">
        <v>183</v>
      </c>
      <c r="D1" s="3" t="s">
        <v>184</v>
      </c>
      <c r="E1" s="3" t="s">
        <v>32</v>
      </c>
      <c r="F1" s="3" t="s">
        <v>185</v>
      </c>
      <c r="G1" s="3" t="s">
        <v>186</v>
      </c>
      <c r="H1" s="3" t="s">
        <v>198</v>
      </c>
      <c r="I1" s="3" t="s">
        <v>187</v>
      </c>
      <c r="J1" s="3" t="s">
        <v>199</v>
      </c>
      <c r="K1" s="3" t="s">
        <v>33</v>
      </c>
      <c r="L1" s="3" t="s">
        <v>34</v>
      </c>
      <c r="M1" s="4" t="s">
        <v>35</v>
      </c>
      <c r="N1" s="3" t="s">
        <v>36</v>
      </c>
      <c r="O1" s="3" t="s">
        <v>37</v>
      </c>
      <c r="P1" s="9"/>
      <c r="Q1" s="3" t="s">
        <v>209</v>
      </c>
      <c r="R1" s="4"/>
      <c r="S1" s="3"/>
      <c r="T1" s="3"/>
      <c r="U1" s="3"/>
      <c r="V1" s="3"/>
      <c r="W1" s="3"/>
      <c r="X1" s="3"/>
      <c r="Y1" s="2" t="s">
        <v>31</v>
      </c>
    </row>
    <row r="2" spans="1:25">
      <c r="A2" s="5" t="s">
        <v>38</v>
      </c>
      <c r="B2" s="5" t="s">
        <v>173</v>
      </c>
      <c r="C2" s="5" t="s">
        <v>188</v>
      </c>
      <c r="D2" s="5" t="str">
        <f t="shared" ref="D2:D33" si="0">LOWER(_xlfn.TEXTJOIN("",TRUE,B2,".",C2,"@dame.com"))</f>
        <v>sade.bassey@dame.com</v>
      </c>
      <c r="E2" s="5" t="s">
        <v>40</v>
      </c>
      <c r="F2" s="5">
        <f t="shared" ref="F2:F33" si="1">LEN(Y2)</f>
        <v>11</v>
      </c>
      <c r="G2" s="5" t="str">
        <f>UPPER(Table1[[#This Row],[Department]])</f>
        <v>IT</v>
      </c>
      <c r="H2" s="5" t="str">
        <f>LOWER(Table1[[#This Row],[Department]])</f>
        <v>it</v>
      </c>
      <c r="I2" s="5" t="str">
        <f>PROPER(Table1[[#This Row],[Department]])</f>
        <v>It</v>
      </c>
      <c r="J2" s="5" t="str">
        <f t="shared" ref="J2:J33" si="2">TRIM(Y2)</f>
        <v>Sade Bassey</v>
      </c>
      <c r="K2" s="5" t="s">
        <v>41</v>
      </c>
      <c r="L2" s="5" t="s">
        <v>42</v>
      </c>
      <c r="M2" s="6">
        <v>400712</v>
      </c>
      <c r="N2" s="5">
        <v>4</v>
      </c>
      <c r="O2" s="5" t="s">
        <v>43</v>
      </c>
      <c r="Q2" s="5" t="s">
        <v>203</v>
      </c>
      <c r="R2" s="5"/>
      <c r="S2" s="5"/>
      <c r="T2" s="5"/>
      <c r="U2" s="5"/>
      <c r="V2" s="5"/>
      <c r="W2" s="5"/>
      <c r="X2" s="5"/>
      <c r="Y2" t="s">
        <v>39</v>
      </c>
    </row>
    <row r="3" spans="1:25">
      <c r="A3" s="5" t="s">
        <v>44</v>
      </c>
      <c r="B3" s="5" t="s">
        <v>173</v>
      </c>
      <c r="C3" s="5" t="s">
        <v>188</v>
      </c>
      <c r="D3" s="5" t="str">
        <f t="shared" si="0"/>
        <v>sade.bassey@dame.com</v>
      </c>
      <c r="E3" s="5" t="s">
        <v>45</v>
      </c>
      <c r="F3" s="5">
        <f t="shared" si="1"/>
        <v>11</v>
      </c>
      <c r="G3" s="5" t="str">
        <f>UPPER(Table1[[#This Row],[Department]])</f>
        <v>MARKETING</v>
      </c>
      <c r="H3" s="5" t="str">
        <f>LOWER(Table1[[#This Row],[Department]])</f>
        <v>marketing</v>
      </c>
      <c r="I3" s="5" t="str">
        <f>PROPER(Table1[[#This Row],[Department]])</f>
        <v>Marketing</v>
      </c>
      <c r="J3" s="5" t="str">
        <f t="shared" si="2"/>
        <v>Sade Bassey</v>
      </c>
      <c r="K3" s="5" t="s">
        <v>46</v>
      </c>
      <c r="L3" s="5" t="s">
        <v>47</v>
      </c>
      <c r="M3" s="6">
        <v>200754</v>
      </c>
      <c r="N3" s="5">
        <v>10</v>
      </c>
      <c r="O3" s="5" t="s">
        <v>48</v>
      </c>
      <c r="Q3" s="6">
        <f ca="1">SUMIF(Table1[Department],"Sales",M4)</f>
        <v>5582766</v>
      </c>
      <c r="R3" s="5"/>
      <c r="S3" s="5"/>
      <c r="T3" s="5"/>
      <c r="U3" s="5"/>
      <c r="V3" s="5"/>
      <c r="W3" s="5"/>
      <c r="X3" s="5"/>
      <c r="Y3" t="s">
        <v>39</v>
      </c>
    </row>
    <row r="4" spans="1:25">
      <c r="A4" s="5" t="s">
        <v>49</v>
      </c>
      <c r="B4" s="5" t="s">
        <v>174</v>
      </c>
      <c r="C4" s="5" t="s">
        <v>189</v>
      </c>
      <c r="D4" s="5" t="str">
        <f t="shared" si="0"/>
        <v>faith.udo@dame.com</v>
      </c>
      <c r="E4" s="5" t="s">
        <v>51</v>
      </c>
      <c r="F4" s="5">
        <f t="shared" si="1"/>
        <v>9</v>
      </c>
      <c r="G4" s="5" t="str">
        <f>UPPER(Table1[[#This Row],[Department]])</f>
        <v>SALES</v>
      </c>
      <c r="H4" s="5" t="str">
        <f>LOWER(Table1[[#This Row],[Department]])</f>
        <v>sales</v>
      </c>
      <c r="I4" s="5" t="str">
        <f>PROPER(Table1[[#This Row],[Department]])</f>
        <v>Sales</v>
      </c>
      <c r="J4" s="5" t="str">
        <f t="shared" si="2"/>
        <v>Faith Udo</v>
      </c>
      <c r="K4" s="5" t="s">
        <v>46</v>
      </c>
      <c r="L4" s="5" t="s">
        <v>42</v>
      </c>
      <c r="M4" s="6">
        <v>457735</v>
      </c>
      <c r="N4" s="5">
        <v>3</v>
      </c>
      <c r="O4" s="5" t="s">
        <v>43</v>
      </c>
      <c r="Q4" s="5" t="s">
        <v>204</v>
      </c>
      <c r="R4" s="5"/>
      <c r="S4" s="5"/>
      <c r="T4" s="5"/>
      <c r="U4" s="5"/>
      <c r="V4" s="5"/>
      <c r="W4" s="5"/>
      <c r="X4" s="5"/>
      <c r="Y4" t="s">
        <v>50</v>
      </c>
    </row>
    <row r="5" spans="1:25">
      <c r="A5" s="5" t="s">
        <v>52</v>
      </c>
      <c r="B5" s="5" t="s">
        <v>173</v>
      </c>
      <c r="C5" s="5" t="s">
        <v>188</v>
      </c>
      <c r="D5" s="5" t="str">
        <f t="shared" si="0"/>
        <v>sade.bassey@dame.com</v>
      </c>
      <c r="E5" s="5" t="s">
        <v>53</v>
      </c>
      <c r="F5" s="5">
        <f t="shared" si="1"/>
        <v>11</v>
      </c>
      <c r="G5" s="5" t="str">
        <f>UPPER(Table1[[#This Row],[Department]])</f>
        <v>FINANCE</v>
      </c>
      <c r="H5" s="5" t="str">
        <f>LOWER(Table1[[#This Row],[Department]])</f>
        <v>finance</v>
      </c>
      <c r="I5" s="5" t="str">
        <f>PROPER(Table1[[#This Row],[Department]])</f>
        <v>Finance</v>
      </c>
      <c r="J5" s="5" t="str">
        <f t="shared" si="2"/>
        <v>Sade Bassey</v>
      </c>
      <c r="K5" s="5" t="s">
        <v>54</v>
      </c>
      <c r="L5" s="5" t="s">
        <v>42</v>
      </c>
      <c r="M5" s="6">
        <v>337091</v>
      </c>
      <c r="N5" s="5">
        <v>2</v>
      </c>
      <c r="O5" s="5" t="s">
        <v>55</v>
      </c>
      <c r="Q5" s="6">
        <f ca="1">AVERAGEIF(Table1[Department],"HR",M11)</f>
        <v>332408.77777777775</v>
      </c>
      <c r="R5" s="5"/>
      <c r="S5" s="5"/>
      <c r="T5" s="5"/>
      <c r="U5" s="5"/>
      <c r="V5" s="5"/>
      <c r="W5" s="5"/>
      <c r="X5" s="5"/>
      <c r="Y5" t="s">
        <v>39</v>
      </c>
    </row>
    <row r="6" spans="1:25">
      <c r="A6" s="5" t="s">
        <v>56</v>
      </c>
      <c r="B6" s="5" t="s">
        <v>175</v>
      </c>
      <c r="C6" s="5" t="s">
        <v>190</v>
      </c>
      <c r="D6" s="5" t="str">
        <f t="shared" si="0"/>
        <v>ibrahim.musa@dame.com</v>
      </c>
      <c r="E6" s="5" t="s">
        <v>40</v>
      </c>
      <c r="F6" s="5">
        <f t="shared" si="1"/>
        <v>12</v>
      </c>
      <c r="G6" s="5" t="str">
        <f>UPPER(Table1[[#This Row],[Department]])</f>
        <v>IT</v>
      </c>
      <c r="H6" s="5" t="str">
        <f>LOWER(Table1[[#This Row],[Department]])</f>
        <v>it</v>
      </c>
      <c r="I6" s="5" t="str">
        <f>PROPER(Table1[[#This Row],[Department]])</f>
        <v>It</v>
      </c>
      <c r="J6" s="5" t="str">
        <f t="shared" si="2"/>
        <v>Ibrahim Musa</v>
      </c>
      <c r="K6" s="5" t="s">
        <v>46</v>
      </c>
      <c r="L6" s="5" t="s">
        <v>47</v>
      </c>
      <c r="M6" s="6">
        <v>436492</v>
      </c>
      <c r="N6" s="5">
        <v>5</v>
      </c>
      <c r="O6" s="5" t="s">
        <v>58</v>
      </c>
      <c r="Q6" s="5" t="s">
        <v>205</v>
      </c>
      <c r="R6" s="5"/>
      <c r="S6" s="5"/>
      <c r="T6" s="5"/>
      <c r="U6" s="5"/>
      <c r="V6" s="5"/>
      <c r="W6" s="5"/>
      <c r="X6" s="5"/>
      <c r="Y6" t="s">
        <v>57</v>
      </c>
    </row>
    <row r="7" spans="1:25">
      <c r="A7" s="5" t="s">
        <v>59</v>
      </c>
      <c r="B7" s="5" t="s">
        <v>176</v>
      </c>
      <c r="C7" s="5" t="s">
        <v>191</v>
      </c>
      <c r="D7" s="5" t="str">
        <f t="shared" si="0"/>
        <v>tunde.salisu@dame.com</v>
      </c>
      <c r="E7" s="5" t="s">
        <v>40</v>
      </c>
      <c r="F7" s="5">
        <f t="shared" si="1"/>
        <v>12</v>
      </c>
      <c r="G7" s="5" t="str">
        <f>UPPER(Table1[[#This Row],[Department]])</f>
        <v>IT</v>
      </c>
      <c r="H7" s="5" t="str">
        <f>LOWER(Table1[[#This Row],[Department]])</f>
        <v>it</v>
      </c>
      <c r="I7" s="5" t="str">
        <f>PROPER(Table1[[#This Row],[Department]])</f>
        <v>It</v>
      </c>
      <c r="J7" s="5" t="str">
        <f t="shared" si="2"/>
        <v>Tunde Salisu</v>
      </c>
      <c r="K7" s="5" t="s">
        <v>61</v>
      </c>
      <c r="L7" s="5" t="s">
        <v>42</v>
      </c>
      <c r="M7" s="6">
        <v>404484</v>
      </c>
      <c r="N7" s="5">
        <v>10</v>
      </c>
      <c r="O7" s="5" t="s">
        <v>55</v>
      </c>
      <c r="Q7" s="6">
        <f>SUMIFS(Table1[Salary],Table1[City],"Lagos",Table1[Experience (Years)],"&gt;3")</f>
        <v>5470326</v>
      </c>
      <c r="R7" s="5"/>
      <c r="S7" s="5"/>
      <c r="T7" s="5"/>
      <c r="U7" s="5"/>
      <c r="V7" s="5"/>
      <c r="W7" s="5"/>
      <c r="X7" s="5"/>
      <c r="Y7" t="s">
        <v>60</v>
      </c>
    </row>
    <row r="8" spans="1:25">
      <c r="A8" s="5" t="s">
        <v>62</v>
      </c>
      <c r="B8" s="5" t="s">
        <v>177</v>
      </c>
      <c r="C8" s="5" t="s">
        <v>192</v>
      </c>
      <c r="D8" s="5" t="str">
        <f t="shared" si="0"/>
        <v>james.obi@dame.com</v>
      </c>
      <c r="E8" s="5" t="s">
        <v>40</v>
      </c>
      <c r="F8" s="5">
        <f t="shared" si="1"/>
        <v>9</v>
      </c>
      <c r="G8" s="5" t="str">
        <f>UPPER(Table1[[#This Row],[Department]])</f>
        <v>IT</v>
      </c>
      <c r="H8" s="5" t="str">
        <f>LOWER(Table1[[#This Row],[Department]])</f>
        <v>it</v>
      </c>
      <c r="I8" s="5" t="str">
        <f>PROPER(Table1[[#This Row],[Department]])</f>
        <v>It</v>
      </c>
      <c r="J8" s="5" t="str">
        <f t="shared" si="2"/>
        <v>James Obi</v>
      </c>
      <c r="K8" s="5" t="s">
        <v>41</v>
      </c>
      <c r="L8" s="5" t="s">
        <v>42</v>
      </c>
      <c r="M8" s="6">
        <v>450806</v>
      </c>
      <c r="N8" s="5">
        <v>3</v>
      </c>
      <c r="O8" s="5" t="s">
        <v>48</v>
      </c>
      <c r="Q8" s="5" t="s">
        <v>206</v>
      </c>
      <c r="R8" s="5"/>
      <c r="S8" s="5"/>
      <c r="T8" s="5"/>
      <c r="U8" s="5"/>
      <c r="V8" s="5"/>
      <c r="W8" s="5"/>
      <c r="X8" s="5"/>
      <c r="Y8" t="s">
        <v>63</v>
      </c>
    </row>
    <row r="9" spans="1:25">
      <c r="A9" s="5" t="s">
        <v>64</v>
      </c>
      <c r="B9" s="5" t="s">
        <v>175</v>
      </c>
      <c r="C9" s="5" t="s">
        <v>190</v>
      </c>
      <c r="D9" s="5" t="str">
        <f t="shared" si="0"/>
        <v>ibrahim.musa@dame.com</v>
      </c>
      <c r="E9" s="5" t="s">
        <v>53</v>
      </c>
      <c r="F9" s="5">
        <f t="shared" si="1"/>
        <v>12</v>
      </c>
      <c r="G9" s="5" t="str">
        <f>UPPER(Table1[[#This Row],[Department]])</f>
        <v>FINANCE</v>
      </c>
      <c r="H9" s="5" t="str">
        <f>LOWER(Table1[[#This Row],[Department]])</f>
        <v>finance</v>
      </c>
      <c r="I9" s="5" t="str">
        <f>PROPER(Table1[[#This Row],[Department]])</f>
        <v>Finance</v>
      </c>
      <c r="J9" s="5" t="str">
        <f t="shared" si="2"/>
        <v>Ibrahim Musa</v>
      </c>
      <c r="K9" s="5" t="s">
        <v>46</v>
      </c>
      <c r="L9" s="5" t="s">
        <v>42</v>
      </c>
      <c r="M9" s="6">
        <v>307961</v>
      </c>
      <c r="N9" s="5">
        <v>2</v>
      </c>
      <c r="O9" s="5" t="s">
        <v>65</v>
      </c>
      <c r="Q9" s="6">
        <f>AVERAGEIFS(Table1[Salary],Table1[City],O6,Table1[Gender],L4)</f>
        <v>315870.8</v>
      </c>
      <c r="R9" s="5"/>
      <c r="S9" s="5"/>
      <c r="T9" s="5"/>
      <c r="U9" s="5"/>
      <c r="V9" s="5"/>
      <c r="W9" s="5"/>
      <c r="X9" s="5"/>
      <c r="Y9" t="s">
        <v>57</v>
      </c>
    </row>
    <row r="10" spans="1:25">
      <c r="A10" s="5" t="s">
        <v>66</v>
      </c>
      <c r="B10" s="5" t="s">
        <v>174</v>
      </c>
      <c r="C10" s="5" t="s">
        <v>189</v>
      </c>
      <c r="D10" s="5" t="str">
        <f t="shared" si="0"/>
        <v>faith.udo@dame.com</v>
      </c>
      <c r="E10" s="5" t="s">
        <v>51</v>
      </c>
      <c r="F10" s="5">
        <f t="shared" si="1"/>
        <v>9</v>
      </c>
      <c r="G10" s="5" t="str">
        <f>UPPER(Table1[[#This Row],[Department]])</f>
        <v>SALES</v>
      </c>
      <c r="H10" s="5" t="str">
        <f>LOWER(Table1[[#This Row],[Department]])</f>
        <v>sales</v>
      </c>
      <c r="I10" s="5" t="str">
        <f>PROPER(Table1[[#This Row],[Department]])</f>
        <v>Sales</v>
      </c>
      <c r="J10" s="5" t="str">
        <f t="shared" si="2"/>
        <v>Faith Udo</v>
      </c>
      <c r="K10" s="5" t="s">
        <v>67</v>
      </c>
      <c r="L10" s="5" t="s">
        <v>47</v>
      </c>
      <c r="M10" s="6">
        <v>246421</v>
      </c>
      <c r="N10" s="5">
        <v>6</v>
      </c>
      <c r="O10" s="5" t="s">
        <v>58</v>
      </c>
      <c r="Q10" s="5" t="s">
        <v>207</v>
      </c>
      <c r="R10" s="5"/>
      <c r="S10" s="5"/>
      <c r="T10" s="5"/>
      <c r="U10" s="5"/>
      <c r="V10" s="5"/>
      <c r="W10" s="5"/>
      <c r="X10" s="5"/>
      <c r="Y10" t="s">
        <v>50</v>
      </c>
    </row>
    <row r="11" spans="1:25">
      <c r="A11" s="5" t="s">
        <v>68</v>
      </c>
      <c r="B11" s="5" t="s">
        <v>178</v>
      </c>
      <c r="C11" s="5" t="s">
        <v>193</v>
      </c>
      <c r="D11" s="5" t="str">
        <f t="shared" si="0"/>
        <v>tope.ade@dame.com</v>
      </c>
      <c r="E11" s="5" t="s">
        <v>70</v>
      </c>
      <c r="F11" s="5">
        <f t="shared" si="1"/>
        <v>8</v>
      </c>
      <c r="G11" s="5" t="str">
        <f>UPPER(Table1[[#This Row],[Department]])</f>
        <v>HR</v>
      </c>
      <c r="H11" s="5" t="str">
        <f>LOWER(Table1[[#This Row],[Department]])</f>
        <v>hr</v>
      </c>
      <c r="I11" s="5" t="str">
        <f>PROPER(Table1[[#This Row],[Department]])</f>
        <v>Hr</v>
      </c>
      <c r="J11" s="5" t="str">
        <f t="shared" si="2"/>
        <v>Tope Ade</v>
      </c>
      <c r="K11" s="5" t="s">
        <v>67</v>
      </c>
      <c r="L11" s="5" t="s">
        <v>47</v>
      </c>
      <c r="M11" s="6">
        <v>403684</v>
      </c>
      <c r="N11" s="5">
        <v>3</v>
      </c>
      <c r="O11" s="5" t="s">
        <v>48</v>
      </c>
      <c r="Q11" s="5">
        <f>COUNTIFS(Table1[City],O6,Table1[Gender],L3)</f>
        <v>15</v>
      </c>
      <c r="R11" s="5"/>
      <c r="S11" s="5"/>
      <c r="T11" s="5"/>
      <c r="U11" s="5"/>
      <c r="V11" s="5"/>
      <c r="W11" s="5"/>
      <c r="X11" s="5"/>
      <c r="Y11" t="s">
        <v>69</v>
      </c>
    </row>
    <row r="12" spans="1:25">
      <c r="A12" s="5" t="s">
        <v>71</v>
      </c>
      <c r="B12" s="5" t="s">
        <v>177</v>
      </c>
      <c r="C12" s="5" t="s">
        <v>192</v>
      </c>
      <c r="D12" s="5" t="str">
        <f t="shared" si="0"/>
        <v>james.obi@dame.com</v>
      </c>
      <c r="E12" s="5" t="s">
        <v>45</v>
      </c>
      <c r="F12" s="5">
        <f t="shared" si="1"/>
        <v>9</v>
      </c>
      <c r="G12" s="5" t="str">
        <f>UPPER(Table1[[#This Row],[Department]])</f>
        <v>MARKETING</v>
      </c>
      <c r="H12" s="5" t="str">
        <f>LOWER(Table1[[#This Row],[Department]])</f>
        <v>marketing</v>
      </c>
      <c r="I12" s="5" t="str">
        <f>PROPER(Table1[[#This Row],[Department]])</f>
        <v>Marketing</v>
      </c>
      <c r="J12" s="5" t="str">
        <f t="shared" si="2"/>
        <v>James Obi</v>
      </c>
      <c r="K12" s="5" t="s">
        <v>72</v>
      </c>
      <c r="L12" s="5" t="s">
        <v>42</v>
      </c>
      <c r="M12" s="6">
        <v>317995</v>
      </c>
      <c r="N12" s="5">
        <v>9</v>
      </c>
      <c r="O12" s="5" t="s">
        <v>58</v>
      </c>
      <c r="Q12" s="5" t="s">
        <v>208</v>
      </c>
      <c r="R12" s="5"/>
      <c r="S12" s="5"/>
      <c r="T12" s="5"/>
      <c r="U12" s="5"/>
      <c r="V12" s="5"/>
      <c r="W12" s="5"/>
      <c r="X12" s="5"/>
      <c r="Y12" t="s">
        <v>63</v>
      </c>
    </row>
    <row r="13" spans="1:25">
      <c r="A13" s="5" t="s">
        <v>73</v>
      </c>
      <c r="B13" s="5" t="s">
        <v>179</v>
      </c>
      <c r="C13" s="5" t="s">
        <v>194</v>
      </c>
      <c r="D13" s="5" t="str">
        <f t="shared" si="0"/>
        <v>chika.umeh@dame.com</v>
      </c>
      <c r="E13" s="5" t="s">
        <v>70</v>
      </c>
      <c r="F13" s="5">
        <f t="shared" si="1"/>
        <v>10</v>
      </c>
      <c r="G13" s="5" t="str">
        <f>UPPER(Table1[[#This Row],[Department]])</f>
        <v>HR</v>
      </c>
      <c r="H13" s="5" t="str">
        <f>LOWER(Table1[[#This Row],[Department]])</f>
        <v>hr</v>
      </c>
      <c r="I13" s="5" t="str">
        <f>PROPER(Table1[[#This Row],[Department]])</f>
        <v>Hr</v>
      </c>
      <c r="J13" s="5" t="str">
        <f t="shared" si="2"/>
        <v>Chika Umeh</v>
      </c>
      <c r="K13" s="5" t="s">
        <v>75</v>
      </c>
      <c r="L13" s="5" t="s">
        <v>42</v>
      </c>
      <c r="M13" s="6">
        <v>242669</v>
      </c>
      <c r="N13" s="5">
        <v>6</v>
      </c>
      <c r="O13" s="5" t="s">
        <v>58</v>
      </c>
      <c r="Q13" s="6">
        <f>_xlfn.MAXIFS(Table1[Salary],Table1[Department],E2)</f>
        <v>493395</v>
      </c>
      <c r="R13" s="5"/>
      <c r="S13" s="5"/>
      <c r="T13" s="5"/>
      <c r="U13" s="5"/>
      <c r="V13" s="5"/>
      <c r="W13" s="5"/>
      <c r="X13" s="5"/>
      <c r="Y13" t="s">
        <v>74</v>
      </c>
    </row>
    <row r="14" spans="1:25">
      <c r="A14" s="5" t="s">
        <v>76</v>
      </c>
      <c r="B14" s="5" t="s">
        <v>179</v>
      </c>
      <c r="C14" s="5" t="s">
        <v>194</v>
      </c>
      <c r="D14" s="5" t="str">
        <f t="shared" si="0"/>
        <v>chika.umeh@dame.com</v>
      </c>
      <c r="E14" s="5" t="s">
        <v>70</v>
      </c>
      <c r="F14" s="5">
        <f t="shared" si="1"/>
        <v>10</v>
      </c>
      <c r="G14" s="5" t="str">
        <f>UPPER(Table1[[#This Row],[Department]])</f>
        <v>HR</v>
      </c>
      <c r="H14" s="5" t="str">
        <f>LOWER(Table1[[#This Row],[Department]])</f>
        <v>hr</v>
      </c>
      <c r="I14" s="5" t="str">
        <f>PROPER(Table1[[#This Row],[Department]])</f>
        <v>Hr</v>
      </c>
      <c r="J14" s="5" t="str">
        <f t="shared" si="2"/>
        <v>Chika Umeh</v>
      </c>
      <c r="K14" s="5" t="s">
        <v>54</v>
      </c>
      <c r="L14" s="5" t="s">
        <v>47</v>
      </c>
      <c r="M14" s="6">
        <v>364238</v>
      </c>
      <c r="N14" s="5">
        <v>7</v>
      </c>
      <c r="O14" s="5" t="s">
        <v>55</v>
      </c>
      <c r="Q14" s="5"/>
      <c r="R14" s="5"/>
      <c r="S14" s="5"/>
      <c r="T14" s="5"/>
      <c r="U14" s="5"/>
      <c r="V14" s="5"/>
      <c r="W14" s="5"/>
      <c r="X14" s="5"/>
      <c r="Y14" t="s">
        <v>74</v>
      </c>
    </row>
    <row r="15" spans="1:25">
      <c r="A15" s="5" t="s">
        <v>77</v>
      </c>
      <c r="B15" s="5" t="s">
        <v>173</v>
      </c>
      <c r="C15" s="5" t="s">
        <v>188</v>
      </c>
      <c r="D15" s="5" t="str">
        <f t="shared" si="0"/>
        <v>sade.bassey@dame.com</v>
      </c>
      <c r="E15" s="5" t="s">
        <v>53</v>
      </c>
      <c r="F15" s="5">
        <f t="shared" si="1"/>
        <v>11</v>
      </c>
      <c r="G15" s="5" t="str">
        <f>UPPER(Table1[[#This Row],[Department]])</f>
        <v>FINANCE</v>
      </c>
      <c r="H15" s="5" t="str">
        <f>LOWER(Table1[[#This Row],[Department]])</f>
        <v>finance</v>
      </c>
      <c r="I15" s="5" t="str">
        <f>PROPER(Table1[[#This Row],[Department]])</f>
        <v>Finance</v>
      </c>
      <c r="J15" s="5" t="str">
        <f t="shared" si="2"/>
        <v>Sade Bassey</v>
      </c>
      <c r="K15" s="5" t="s">
        <v>78</v>
      </c>
      <c r="L15" s="5" t="s">
        <v>42</v>
      </c>
      <c r="M15" s="6">
        <v>215724</v>
      </c>
      <c r="N15" s="5">
        <v>9</v>
      </c>
      <c r="O15" s="5" t="s">
        <v>65</v>
      </c>
      <c r="Q15" s="5"/>
      <c r="R15" s="5"/>
      <c r="S15" s="5"/>
      <c r="T15" s="5"/>
      <c r="U15" s="5"/>
      <c r="V15" s="5"/>
      <c r="W15" s="5"/>
      <c r="X15" s="5"/>
      <c r="Y15" t="s">
        <v>39</v>
      </c>
    </row>
    <row r="16" spans="1:25">
      <c r="A16" s="5" t="s">
        <v>79</v>
      </c>
      <c r="B16" s="5" t="s">
        <v>179</v>
      </c>
      <c r="C16" s="5" t="s">
        <v>194</v>
      </c>
      <c r="D16" s="5" t="str">
        <f t="shared" si="0"/>
        <v>chika.umeh@dame.com</v>
      </c>
      <c r="E16" s="5" t="s">
        <v>45</v>
      </c>
      <c r="F16" s="5">
        <f t="shared" si="1"/>
        <v>10</v>
      </c>
      <c r="G16" s="5" t="str">
        <f>UPPER(Table1[[#This Row],[Department]])</f>
        <v>MARKETING</v>
      </c>
      <c r="H16" s="5" t="str">
        <f>LOWER(Table1[[#This Row],[Department]])</f>
        <v>marketing</v>
      </c>
      <c r="I16" s="5" t="str">
        <f>PROPER(Table1[[#This Row],[Department]])</f>
        <v>Marketing</v>
      </c>
      <c r="J16" s="5" t="str">
        <f t="shared" si="2"/>
        <v>Chika Umeh</v>
      </c>
      <c r="K16" s="5" t="s">
        <v>75</v>
      </c>
      <c r="L16" s="5" t="s">
        <v>47</v>
      </c>
      <c r="M16" s="6">
        <v>301679</v>
      </c>
      <c r="N16" s="5">
        <v>10</v>
      </c>
      <c r="O16" s="5" t="s">
        <v>48</v>
      </c>
      <c r="Q16" s="5"/>
      <c r="R16" s="5"/>
      <c r="S16" s="5"/>
      <c r="T16" s="5"/>
      <c r="U16" s="5"/>
      <c r="V16" s="5"/>
      <c r="W16" s="5"/>
      <c r="X16" s="5"/>
      <c r="Y16" t="s">
        <v>74</v>
      </c>
    </row>
    <row r="17" spans="1:25">
      <c r="A17" s="5" t="s">
        <v>80</v>
      </c>
      <c r="B17" s="5" t="s">
        <v>175</v>
      </c>
      <c r="C17" s="5" t="s">
        <v>190</v>
      </c>
      <c r="D17" s="5" t="str">
        <f t="shared" si="0"/>
        <v>ibrahim.musa@dame.com</v>
      </c>
      <c r="E17" s="5" t="s">
        <v>40</v>
      </c>
      <c r="F17" s="5">
        <f t="shared" si="1"/>
        <v>12</v>
      </c>
      <c r="G17" s="5" t="str">
        <f>UPPER(Table1[[#This Row],[Department]])</f>
        <v>IT</v>
      </c>
      <c r="H17" s="5" t="str">
        <f>LOWER(Table1[[#This Row],[Department]])</f>
        <v>it</v>
      </c>
      <c r="I17" s="5" t="str">
        <f>PROPER(Table1[[#This Row],[Department]])</f>
        <v>It</v>
      </c>
      <c r="J17" s="5" t="str">
        <f t="shared" si="2"/>
        <v>Ibrahim Musa</v>
      </c>
      <c r="K17" s="5" t="s">
        <v>78</v>
      </c>
      <c r="L17" s="5" t="s">
        <v>47</v>
      </c>
      <c r="M17" s="6">
        <v>243689</v>
      </c>
      <c r="N17" s="5">
        <v>3</v>
      </c>
      <c r="O17" s="5" t="s">
        <v>58</v>
      </c>
      <c r="Q17" s="5"/>
      <c r="R17" s="5"/>
      <c r="S17" s="5"/>
      <c r="T17" s="5"/>
      <c r="U17" s="5"/>
      <c r="V17" s="5"/>
      <c r="W17" s="5"/>
      <c r="X17" s="5"/>
      <c r="Y17" t="s">
        <v>57</v>
      </c>
    </row>
    <row r="18" spans="1:25">
      <c r="A18" s="5" t="s">
        <v>81</v>
      </c>
      <c r="B18" s="5" t="s">
        <v>176</v>
      </c>
      <c r="C18" s="5" t="s">
        <v>191</v>
      </c>
      <c r="D18" s="5" t="str">
        <f t="shared" si="0"/>
        <v>tunde.salisu@dame.com</v>
      </c>
      <c r="E18" s="5" t="s">
        <v>40</v>
      </c>
      <c r="F18" s="5">
        <f t="shared" si="1"/>
        <v>12</v>
      </c>
      <c r="G18" s="5" t="str">
        <f>UPPER(Table1[[#This Row],[Department]])</f>
        <v>IT</v>
      </c>
      <c r="H18" s="5" t="str">
        <f>LOWER(Table1[[#This Row],[Department]])</f>
        <v>it</v>
      </c>
      <c r="I18" s="5" t="str">
        <f>PROPER(Table1[[#This Row],[Department]])</f>
        <v>It</v>
      </c>
      <c r="J18" s="5" t="str">
        <f t="shared" si="2"/>
        <v>Tunde Salisu</v>
      </c>
      <c r="K18" s="5" t="s">
        <v>41</v>
      </c>
      <c r="L18" s="5" t="s">
        <v>42</v>
      </c>
      <c r="M18" s="6">
        <v>465805</v>
      </c>
      <c r="N18" s="5">
        <v>10</v>
      </c>
      <c r="O18" s="5" t="s">
        <v>48</v>
      </c>
      <c r="Q18" s="5"/>
      <c r="R18" s="5"/>
      <c r="S18" s="5"/>
      <c r="T18" s="5"/>
      <c r="U18" s="5"/>
      <c r="V18" s="5"/>
      <c r="W18" s="5"/>
      <c r="X18" s="5"/>
      <c r="Y18" t="s">
        <v>60</v>
      </c>
    </row>
    <row r="19" spans="1:25">
      <c r="A19" s="5" t="s">
        <v>82</v>
      </c>
      <c r="B19" s="5" t="s">
        <v>179</v>
      </c>
      <c r="C19" s="5" t="s">
        <v>194</v>
      </c>
      <c r="D19" s="5" t="str">
        <f t="shared" si="0"/>
        <v>chika.umeh@dame.com</v>
      </c>
      <c r="E19" s="5" t="s">
        <v>45</v>
      </c>
      <c r="F19" s="5">
        <f t="shared" si="1"/>
        <v>10</v>
      </c>
      <c r="G19" s="5" t="str">
        <f>UPPER(Table1[[#This Row],[Department]])</f>
        <v>MARKETING</v>
      </c>
      <c r="H19" s="5" t="str">
        <f>LOWER(Table1[[#This Row],[Department]])</f>
        <v>marketing</v>
      </c>
      <c r="I19" s="5" t="str">
        <f>PROPER(Table1[[#This Row],[Department]])</f>
        <v>Marketing</v>
      </c>
      <c r="J19" s="5" t="str">
        <f t="shared" si="2"/>
        <v>Chika Umeh</v>
      </c>
      <c r="K19" s="5" t="s">
        <v>46</v>
      </c>
      <c r="L19" s="5" t="s">
        <v>47</v>
      </c>
      <c r="M19" s="6">
        <v>414186</v>
      </c>
      <c r="N19" s="5">
        <v>7</v>
      </c>
      <c r="O19" s="5" t="s">
        <v>65</v>
      </c>
      <c r="Q19" s="5"/>
      <c r="R19" s="5"/>
      <c r="S19" s="5"/>
      <c r="T19" s="5"/>
      <c r="U19" s="5"/>
      <c r="V19" s="5"/>
      <c r="W19" s="5"/>
      <c r="X19" s="5"/>
      <c r="Y19" t="s">
        <v>74</v>
      </c>
    </row>
    <row r="20" spans="1:25">
      <c r="A20" s="5" t="s">
        <v>83</v>
      </c>
      <c r="B20" s="5" t="s">
        <v>180</v>
      </c>
      <c r="C20" s="5" t="s">
        <v>195</v>
      </c>
      <c r="D20" s="5" t="str">
        <f t="shared" si="0"/>
        <v>maria.okafor@dame.com</v>
      </c>
      <c r="E20" s="5" t="s">
        <v>70</v>
      </c>
      <c r="F20" s="5">
        <f t="shared" si="1"/>
        <v>12</v>
      </c>
      <c r="G20" s="5" t="str">
        <f>UPPER(Table1[[#This Row],[Department]])</f>
        <v>HR</v>
      </c>
      <c r="H20" s="5" t="str">
        <f>LOWER(Table1[[#This Row],[Department]])</f>
        <v>hr</v>
      </c>
      <c r="I20" s="5" t="str">
        <f>PROPER(Table1[[#This Row],[Department]])</f>
        <v>Hr</v>
      </c>
      <c r="J20" s="5" t="str">
        <f t="shared" si="2"/>
        <v>Maria Okafor</v>
      </c>
      <c r="K20" s="5" t="s">
        <v>46</v>
      </c>
      <c r="L20" s="5" t="s">
        <v>47</v>
      </c>
      <c r="M20" s="6">
        <v>282557</v>
      </c>
      <c r="N20" s="5">
        <v>9</v>
      </c>
      <c r="O20" s="5" t="s">
        <v>55</v>
      </c>
      <c r="Q20" s="5"/>
      <c r="R20" s="5"/>
      <c r="S20" s="5"/>
      <c r="T20" s="5"/>
      <c r="U20" s="5"/>
      <c r="V20" s="5"/>
      <c r="W20" s="5"/>
      <c r="X20" s="5"/>
      <c r="Y20" t="s">
        <v>84</v>
      </c>
    </row>
    <row r="21" spans="1:25">
      <c r="A21" s="5" t="s">
        <v>85</v>
      </c>
      <c r="B21" s="5" t="s">
        <v>177</v>
      </c>
      <c r="C21" s="5" t="s">
        <v>192</v>
      </c>
      <c r="D21" s="5" t="str">
        <f t="shared" si="0"/>
        <v>james.obi@dame.com</v>
      </c>
      <c r="E21" s="5" t="s">
        <v>70</v>
      </c>
      <c r="F21" s="5">
        <f t="shared" si="1"/>
        <v>9</v>
      </c>
      <c r="G21" s="5" t="str">
        <f>UPPER(Table1[[#This Row],[Department]])</f>
        <v>HR</v>
      </c>
      <c r="H21" s="5" t="str">
        <f>LOWER(Table1[[#This Row],[Department]])</f>
        <v>hr</v>
      </c>
      <c r="I21" s="5" t="str">
        <f>PROPER(Table1[[#This Row],[Department]])</f>
        <v>Hr</v>
      </c>
      <c r="J21" s="5" t="str">
        <f t="shared" si="2"/>
        <v>James Obi</v>
      </c>
      <c r="K21" s="5" t="s">
        <v>86</v>
      </c>
      <c r="L21" s="5" t="s">
        <v>42</v>
      </c>
      <c r="M21" s="6">
        <v>330692</v>
      </c>
      <c r="N21" s="5">
        <v>10</v>
      </c>
      <c r="O21" s="5" t="s">
        <v>58</v>
      </c>
      <c r="Q21" s="5"/>
      <c r="R21" s="5"/>
      <c r="S21" s="5"/>
      <c r="T21" s="5"/>
      <c r="U21" s="5"/>
      <c r="V21" s="5"/>
      <c r="W21" s="5"/>
      <c r="X21" s="5"/>
      <c r="Y21" t="s">
        <v>63</v>
      </c>
    </row>
    <row r="22" spans="1:25">
      <c r="A22" s="5" t="s">
        <v>87</v>
      </c>
      <c r="B22" s="5" t="s">
        <v>179</v>
      </c>
      <c r="C22" s="5" t="s">
        <v>194</v>
      </c>
      <c r="D22" s="5" t="str">
        <f t="shared" si="0"/>
        <v>chika.umeh@dame.com</v>
      </c>
      <c r="E22" s="5" t="s">
        <v>53</v>
      </c>
      <c r="F22" s="5">
        <f t="shared" si="1"/>
        <v>10</v>
      </c>
      <c r="G22" s="5" t="str">
        <f>UPPER(Table1[[#This Row],[Department]])</f>
        <v>FINANCE</v>
      </c>
      <c r="H22" s="5" t="str">
        <f>LOWER(Table1[[#This Row],[Department]])</f>
        <v>finance</v>
      </c>
      <c r="I22" s="5" t="str">
        <f>PROPER(Table1[[#This Row],[Department]])</f>
        <v>Finance</v>
      </c>
      <c r="J22" s="5" t="str">
        <f t="shared" si="2"/>
        <v>Chika Umeh</v>
      </c>
      <c r="K22" s="5" t="s">
        <v>54</v>
      </c>
      <c r="L22" s="5" t="s">
        <v>42</v>
      </c>
      <c r="M22" s="6">
        <v>334719</v>
      </c>
      <c r="N22" s="5">
        <v>4</v>
      </c>
      <c r="O22" s="5" t="s">
        <v>43</v>
      </c>
      <c r="Q22" s="5"/>
      <c r="R22" s="5"/>
      <c r="S22" s="5"/>
      <c r="T22" s="5"/>
      <c r="U22" s="5"/>
      <c r="V22" s="5"/>
      <c r="W22" s="5"/>
      <c r="X22" s="5"/>
      <c r="Y22" t="s">
        <v>74</v>
      </c>
    </row>
    <row r="23" spans="1:25">
      <c r="A23" s="5" t="s">
        <v>88</v>
      </c>
      <c r="B23" s="5" t="s">
        <v>173</v>
      </c>
      <c r="C23" s="5" t="s">
        <v>188</v>
      </c>
      <c r="D23" s="5" t="str">
        <f t="shared" si="0"/>
        <v>sade.bassey@dame.com</v>
      </c>
      <c r="E23" s="5" t="s">
        <v>51</v>
      </c>
      <c r="F23" s="5">
        <f t="shared" si="1"/>
        <v>11</v>
      </c>
      <c r="G23" s="5" t="str">
        <f>UPPER(Table1[[#This Row],[Department]])</f>
        <v>SALES</v>
      </c>
      <c r="H23" s="5" t="str">
        <f>LOWER(Table1[[#This Row],[Department]])</f>
        <v>sales</v>
      </c>
      <c r="I23" s="5" t="str">
        <f>PROPER(Table1[[#This Row],[Department]])</f>
        <v>Sales</v>
      </c>
      <c r="J23" s="5" t="str">
        <f t="shared" si="2"/>
        <v>Sade Bassey</v>
      </c>
      <c r="K23" s="5" t="s">
        <v>89</v>
      </c>
      <c r="L23" s="5" t="s">
        <v>47</v>
      </c>
      <c r="M23" s="6">
        <v>237212</v>
      </c>
      <c r="N23" s="5">
        <v>5</v>
      </c>
      <c r="O23" s="5" t="s">
        <v>58</v>
      </c>
      <c r="Q23" s="5"/>
      <c r="R23" s="5"/>
      <c r="S23" s="5"/>
      <c r="T23" s="5"/>
      <c r="U23" s="5"/>
      <c r="V23" s="5"/>
      <c r="W23" s="5"/>
      <c r="X23" s="5"/>
      <c r="Y23" t="s">
        <v>39</v>
      </c>
    </row>
    <row r="24" spans="1:25">
      <c r="A24" s="5" t="s">
        <v>90</v>
      </c>
      <c r="B24" s="5" t="s">
        <v>174</v>
      </c>
      <c r="C24" s="5" t="s">
        <v>189</v>
      </c>
      <c r="D24" s="5" t="str">
        <f t="shared" si="0"/>
        <v>faith.udo@dame.com</v>
      </c>
      <c r="E24" s="5" t="s">
        <v>53</v>
      </c>
      <c r="F24" s="5">
        <f t="shared" si="1"/>
        <v>9</v>
      </c>
      <c r="G24" s="5" t="str">
        <f>UPPER(Table1[[#This Row],[Department]])</f>
        <v>FINANCE</v>
      </c>
      <c r="H24" s="5" t="str">
        <f>LOWER(Table1[[#This Row],[Department]])</f>
        <v>finance</v>
      </c>
      <c r="I24" s="5" t="str">
        <f>PROPER(Table1[[#This Row],[Department]])</f>
        <v>Finance</v>
      </c>
      <c r="J24" s="5" t="str">
        <f t="shared" si="2"/>
        <v>Faith Udo</v>
      </c>
      <c r="K24" s="5" t="s">
        <v>61</v>
      </c>
      <c r="L24" s="5" t="s">
        <v>47</v>
      </c>
      <c r="M24" s="6">
        <v>382250</v>
      </c>
      <c r="N24" s="5">
        <v>1</v>
      </c>
      <c r="O24" s="5" t="s">
        <v>58</v>
      </c>
      <c r="Q24" s="5"/>
      <c r="R24" s="5"/>
      <c r="S24" s="5"/>
      <c r="T24" s="5"/>
      <c r="U24" s="5"/>
      <c r="V24" s="5"/>
      <c r="W24" s="5"/>
      <c r="X24" s="5"/>
      <c r="Y24" t="s">
        <v>50</v>
      </c>
    </row>
    <row r="25" spans="1:25">
      <c r="A25" s="5" t="s">
        <v>91</v>
      </c>
      <c r="B25" s="5" t="s">
        <v>178</v>
      </c>
      <c r="C25" s="5" t="s">
        <v>193</v>
      </c>
      <c r="D25" s="5" t="str">
        <f t="shared" si="0"/>
        <v>tope.ade@dame.com</v>
      </c>
      <c r="E25" s="5" t="s">
        <v>40</v>
      </c>
      <c r="F25" s="5">
        <f t="shared" si="1"/>
        <v>8</v>
      </c>
      <c r="G25" s="5" t="str">
        <f>UPPER(Table1[[#This Row],[Department]])</f>
        <v>IT</v>
      </c>
      <c r="H25" s="5" t="str">
        <f>LOWER(Table1[[#This Row],[Department]])</f>
        <v>it</v>
      </c>
      <c r="I25" s="5" t="str">
        <f>PROPER(Table1[[#This Row],[Department]])</f>
        <v>It</v>
      </c>
      <c r="J25" s="5" t="str">
        <f t="shared" si="2"/>
        <v>Tope Ade</v>
      </c>
      <c r="K25" s="5" t="s">
        <v>75</v>
      </c>
      <c r="L25" s="5" t="s">
        <v>47</v>
      </c>
      <c r="M25" s="6">
        <v>422408</v>
      </c>
      <c r="N25" s="5">
        <v>9</v>
      </c>
      <c r="O25" s="5" t="s">
        <v>58</v>
      </c>
      <c r="Q25" s="5"/>
      <c r="R25" s="5"/>
      <c r="S25" s="5"/>
      <c r="T25" s="5"/>
      <c r="U25" s="5"/>
      <c r="V25" s="5"/>
      <c r="W25" s="5"/>
      <c r="X25" s="5"/>
      <c r="Y25" t="s">
        <v>69</v>
      </c>
    </row>
    <row r="26" spans="1:25">
      <c r="A26" s="5" t="s">
        <v>92</v>
      </c>
      <c r="B26" s="5" t="s">
        <v>181</v>
      </c>
      <c r="C26" s="5" t="s">
        <v>196</v>
      </c>
      <c r="D26" s="5" t="str">
        <f t="shared" si="0"/>
        <v>ngozi.bello@dame.com</v>
      </c>
      <c r="E26" s="5" t="s">
        <v>70</v>
      </c>
      <c r="F26" s="5">
        <f t="shared" si="1"/>
        <v>11</v>
      </c>
      <c r="G26" s="5" t="str">
        <f>UPPER(Table1[[#This Row],[Department]])</f>
        <v>HR</v>
      </c>
      <c r="H26" s="5" t="str">
        <f>LOWER(Table1[[#This Row],[Department]])</f>
        <v>hr</v>
      </c>
      <c r="I26" s="5" t="str">
        <f>PROPER(Table1[[#This Row],[Department]])</f>
        <v>Hr</v>
      </c>
      <c r="J26" s="5" t="str">
        <f t="shared" si="2"/>
        <v>Ngozi Bello</v>
      </c>
      <c r="K26" s="5" t="s">
        <v>78</v>
      </c>
      <c r="L26" s="5" t="s">
        <v>42</v>
      </c>
      <c r="M26" s="6">
        <v>291740</v>
      </c>
      <c r="N26" s="5">
        <v>1</v>
      </c>
      <c r="O26" s="5" t="s">
        <v>58</v>
      </c>
      <c r="Q26" s="5"/>
      <c r="R26" s="5"/>
      <c r="S26" s="5"/>
      <c r="T26" s="5"/>
      <c r="U26" s="5"/>
      <c r="V26" s="5"/>
      <c r="W26" s="5"/>
      <c r="X26" s="5"/>
      <c r="Y26" t="s">
        <v>93</v>
      </c>
    </row>
    <row r="27" spans="1:25">
      <c r="A27" s="5" t="s">
        <v>94</v>
      </c>
      <c r="B27" s="5" t="s">
        <v>174</v>
      </c>
      <c r="C27" s="5" t="s">
        <v>189</v>
      </c>
      <c r="D27" s="5" t="str">
        <f t="shared" si="0"/>
        <v>faith.udo@dame.com</v>
      </c>
      <c r="E27" s="5" t="s">
        <v>70</v>
      </c>
      <c r="F27" s="5">
        <f t="shared" si="1"/>
        <v>9</v>
      </c>
      <c r="G27" s="5" t="str">
        <f>UPPER(Table1[[#This Row],[Department]])</f>
        <v>HR</v>
      </c>
      <c r="H27" s="5" t="str">
        <f>LOWER(Table1[[#This Row],[Department]])</f>
        <v>hr</v>
      </c>
      <c r="I27" s="5" t="str">
        <f>PROPER(Table1[[#This Row],[Department]])</f>
        <v>Hr</v>
      </c>
      <c r="J27" s="5" t="str">
        <f t="shared" si="2"/>
        <v>Faith Udo</v>
      </c>
      <c r="K27" s="5" t="s">
        <v>89</v>
      </c>
      <c r="L27" s="5" t="s">
        <v>47</v>
      </c>
      <c r="M27" s="6">
        <v>417509</v>
      </c>
      <c r="N27" s="5">
        <v>7</v>
      </c>
      <c r="O27" s="5" t="s">
        <v>65</v>
      </c>
      <c r="Q27" s="5"/>
      <c r="R27" s="5"/>
      <c r="S27" s="5"/>
      <c r="T27" s="5"/>
      <c r="U27" s="5"/>
      <c r="V27" s="5"/>
      <c r="W27" s="5"/>
      <c r="X27" s="5"/>
      <c r="Y27" t="s">
        <v>50</v>
      </c>
    </row>
    <row r="28" spans="1:25">
      <c r="A28" s="5" t="s">
        <v>95</v>
      </c>
      <c r="B28" s="5" t="s">
        <v>174</v>
      </c>
      <c r="C28" s="5" t="s">
        <v>189</v>
      </c>
      <c r="D28" s="5" t="str">
        <f t="shared" si="0"/>
        <v>faith.udo@dame.com</v>
      </c>
      <c r="E28" s="5" t="s">
        <v>51</v>
      </c>
      <c r="F28" s="5">
        <f t="shared" si="1"/>
        <v>9</v>
      </c>
      <c r="G28" s="5" t="str">
        <f>UPPER(Table1[[#This Row],[Department]])</f>
        <v>SALES</v>
      </c>
      <c r="H28" s="5" t="str">
        <f>LOWER(Table1[[#This Row],[Department]])</f>
        <v>sales</v>
      </c>
      <c r="I28" s="5" t="str">
        <f>PROPER(Table1[[#This Row],[Department]])</f>
        <v>Sales</v>
      </c>
      <c r="J28" s="5" t="str">
        <f t="shared" si="2"/>
        <v>Faith Udo</v>
      </c>
      <c r="K28" s="5" t="s">
        <v>46</v>
      </c>
      <c r="L28" s="5" t="s">
        <v>42</v>
      </c>
      <c r="M28" s="6">
        <v>450750</v>
      </c>
      <c r="N28" s="5">
        <v>4</v>
      </c>
      <c r="O28" s="5" t="s">
        <v>43</v>
      </c>
      <c r="Q28" s="5"/>
      <c r="R28" s="5"/>
      <c r="S28" s="5"/>
      <c r="T28" s="5"/>
      <c r="U28" s="5"/>
      <c r="V28" s="5"/>
      <c r="W28" s="5"/>
      <c r="X28" s="5"/>
      <c r="Y28" t="s">
        <v>50</v>
      </c>
    </row>
    <row r="29" spans="1:25">
      <c r="A29" s="5" t="s">
        <v>96</v>
      </c>
      <c r="B29" s="5" t="s">
        <v>178</v>
      </c>
      <c r="C29" s="5" t="s">
        <v>193</v>
      </c>
      <c r="D29" s="5" t="str">
        <f t="shared" si="0"/>
        <v>tope.ade@dame.com</v>
      </c>
      <c r="E29" s="5" t="s">
        <v>70</v>
      </c>
      <c r="F29" s="5">
        <f t="shared" si="1"/>
        <v>8</v>
      </c>
      <c r="G29" s="5" t="str">
        <f>UPPER(Table1[[#This Row],[Department]])</f>
        <v>HR</v>
      </c>
      <c r="H29" s="5" t="str">
        <f>LOWER(Table1[[#This Row],[Department]])</f>
        <v>hr</v>
      </c>
      <c r="I29" s="5" t="str">
        <f>PROPER(Table1[[#This Row],[Department]])</f>
        <v>Hr</v>
      </c>
      <c r="J29" s="5" t="str">
        <f t="shared" si="2"/>
        <v>Tope Ade</v>
      </c>
      <c r="K29" s="5" t="s">
        <v>89</v>
      </c>
      <c r="L29" s="5" t="s">
        <v>42</v>
      </c>
      <c r="M29" s="6">
        <v>281642</v>
      </c>
      <c r="N29" s="5">
        <v>5</v>
      </c>
      <c r="O29" s="5" t="s">
        <v>55</v>
      </c>
      <c r="Q29" s="5"/>
      <c r="R29" s="5"/>
      <c r="S29" s="5"/>
      <c r="T29" s="5"/>
      <c r="U29" s="5"/>
      <c r="V29" s="5"/>
      <c r="W29" s="5"/>
      <c r="X29" s="5"/>
      <c r="Y29" t="s">
        <v>69</v>
      </c>
    </row>
    <row r="30" spans="1:25">
      <c r="A30" s="5" t="s">
        <v>97</v>
      </c>
      <c r="B30" s="5" t="s">
        <v>177</v>
      </c>
      <c r="C30" s="5" t="s">
        <v>192</v>
      </c>
      <c r="D30" s="5" t="str">
        <f t="shared" si="0"/>
        <v>james.obi@dame.com</v>
      </c>
      <c r="E30" s="5" t="s">
        <v>51</v>
      </c>
      <c r="F30" s="5">
        <f t="shared" si="1"/>
        <v>9</v>
      </c>
      <c r="G30" s="5" t="str">
        <f>UPPER(Table1[[#This Row],[Department]])</f>
        <v>SALES</v>
      </c>
      <c r="H30" s="5" t="str">
        <f>LOWER(Table1[[#This Row],[Department]])</f>
        <v>sales</v>
      </c>
      <c r="I30" s="5" t="str">
        <f>PROPER(Table1[[#This Row],[Department]])</f>
        <v>Sales</v>
      </c>
      <c r="J30" s="5" t="str">
        <f t="shared" si="2"/>
        <v>James Obi</v>
      </c>
      <c r="K30" s="5" t="s">
        <v>61</v>
      </c>
      <c r="L30" s="5" t="s">
        <v>47</v>
      </c>
      <c r="M30" s="6">
        <v>291645</v>
      </c>
      <c r="N30" s="5">
        <v>10</v>
      </c>
      <c r="O30" s="5" t="s">
        <v>43</v>
      </c>
      <c r="Q30" s="5"/>
      <c r="R30" s="5"/>
      <c r="S30" s="5"/>
      <c r="T30" s="5"/>
      <c r="U30" s="5"/>
      <c r="V30" s="5"/>
      <c r="W30" s="5"/>
      <c r="X30" s="5"/>
      <c r="Y30" t="s">
        <v>63</v>
      </c>
    </row>
    <row r="31" spans="1:25">
      <c r="A31" s="5" t="s">
        <v>98</v>
      </c>
      <c r="B31" s="5" t="s">
        <v>175</v>
      </c>
      <c r="C31" s="5" t="s">
        <v>190</v>
      </c>
      <c r="D31" s="5" t="str">
        <f t="shared" si="0"/>
        <v>ibrahim.musa@dame.com</v>
      </c>
      <c r="E31" s="5" t="s">
        <v>40</v>
      </c>
      <c r="F31" s="5">
        <f t="shared" si="1"/>
        <v>12</v>
      </c>
      <c r="G31" s="5" t="str">
        <f>UPPER(Table1[[#This Row],[Department]])</f>
        <v>IT</v>
      </c>
      <c r="H31" s="5" t="str">
        <f>LOWER(Table1[[#This Row],[Department]])</f>
        <v>it</v>
      </c>
      <c r="I31" s="5" t="str">
        <f>PROPER(Table1[[#This Row],[Department]])</f>
        <v>It</v>
      </c>
      <c r="J31" s="5" t="str">
        <f t="shared" si="2"/>
        <v>Ibrahim Musa</v>
      </c>
      <c r="K31" s="5" t="s">
        <v>61</v>
      </c>
      <c r="L31" s="5" t="s">
        <v>47</v>
      </c>
      <c r="M31" s="6">
        <v>309288</v>
      </c>
      <c r="N31" s="5">
        <v>7</v>
      </c>
      <c r="O31" s="5" t="s">
        <v>58</v>
      </c>
      <c r="Q31" s="5"/>
      <c r="R31" s="5"/>
      <c r="S31" s="5"/>
      <c r="T31" s="5"/>
      <c r="U31" s="5"/>
      <c r="V31" s="5"/>
      <c r="W31" s="5"/>
      <c r="X31" s="5"/>
      <c r="Y31" t="s">
        <v>57</v>
      </c>
    </row>
    <row r="32" spans="1:25">
      <c r="A32" s="5" t="s">
        <v>99</v>
      </c>
      <c r="B32" s="5" t="s">
        <v>175</v>
      </c>
      <c r="C32" s="5" t="s">
        <v>190</v>
      </c>
      <c r="D32" s="5" t="str">
        <f t="shared" si="0"/>
        <v>ibrahim.musa@dame.com</v>
      </c>
      <c r="E32" s="5" t="s">
        <v>70</v>
      </c>
      <c r="F32" s="5">
        <f t="shared" si="1"/>
        <v>12</v>
      </c>
      <c r="G32" s="5" t="str">
        <f>UPPER(Table1[[#This Row],[Department]])</f>
        <v>HR</v>
      </c>
      <c r="H32" s="5" t="str">
        <f>LOWER(Table1[[#This Row],[Department]])</f>
        <v>hr</v>
      </c>
      <c r="I32" s="5" t="str">
        <f>PROPER(Table1[[#This Row],[Department]])</f>
        <v>Hr</v>
      </c>
      <c r="J32" s="5" t="str">
        <f t="shared" si="2"/>
        <v>Ibrahim Musa</v>
      </c>
      <c r="K32" s="5" t="s">
        <v>46</v>
      </c>
      <c r="L32" s="5" t="s">
        <v>42</v>
      </c>
      <c r="M32" s="6">
        <v>271687</v>
      </c>
      <c r="N32" s="5">
        <v>10</v>
      </c>
      <c r="O32" s="5" t="s">
        <v>58</v>
      </c>
      <c r="Q32" s="5"/>
      <c r="R32" s="5"/>
      <c r="S32" s="5"/>
      <c r="T32" s="5"/>
      <c r="U32" s="5"/>
      <c r="V32" s="5"/>
      <c r="W32" s="5"/>
      <c r="X32" s="5"/>
      <c r="Y32" t="s">
        <v>57</v>
      </c>
    </row>
    <row r="33" spans="1:25">
      <c r="A33" s="5" t="s">
        <v>100</v>
      </c>
      <c r="B33" s="5" t="s">
        <v>174</v>
      </c>
      <c r="C33" s="5" t="s">
        <v>189</v>
      </c>
      <c r="D33" s="5" t="str">
        <f t="shared" si="0"/>
        <v>faith.udo@dame.com</v>
      </c>
      <c r="E33" s="5" t="s">
        <v>40</v>
      </c>
      <c r="F33" s="5">
        <f t="shared" si="1"/>
        <v>9</v>
      </c>
      <c r="G33" s="5" t="str">
        <f>UPPER(Table1[[#This Row],[Department]])</f>
        <v>IT</v>
      </c>
      <c r="H33" s="5" t="str">
        <f>LOWER(Table1[[#This Row],[Department]])</f>
        <v>it</v>
      </c>
      <c r="I33" s="5" t="str">
        <f>PROPER(Table1[[#This Row],[Department]])</f>
        <v>It</v>
      </c>
      <c r="J33" s="5" t="str">
        <f t="shared" si="2"/>
        <v>Faith Udo</v>
      </c>
      <c r="K33" s="5" t="s">
        <v>61</v>
      </c>
      <c r="L33" s="5" t="s">
        <v>42</v>
      </c>
      <c r="M33" s="6">
        <v>365101</v>
      </c>
      <c r="N33" s="5">
        <v>9</v>
      </c>
      <c r="O33" s="5" t="s">
        <v>55</v>
      </c>
      <c r="Q33" s="5"/>
      <c r="R33" s="5"/>
      <c r="S33" s="5"/>
      <c r="T33" s="5"/>
      <c r="U33" s="5"/>
      <c r="V33" s="5"/>
      <c r="W33" s="5"/>
      <c r="X33" s="5"/>
      <c r="Y33" t="s">
        <v>50</v>
      </c>
    </row>
    <row r="34" spans="1:25">
      <c r="A34" s="5" t="s">
        <v>101</v>
      </c>
      <c r="B34" s="5" t="s">
        <v>181</v>
      </c>
      <c r="C34" s="5" t="s">
        <v>196</v>
      </c>
      <c r="D34" s="5" t="str">
        <f t="shared" ref="D34:D65" si="3">LOWER(_xlfn.TEXTJOIN("",TRUE,B34,".",C34,"@dame.com"))</f>
        <v>ngozi.bello@dame.com</v>
      </c>
      <c r="E34" s="5" t="s">
        <v>40</v>
      </c>
      <c r="F34" s="5">
        <f t="shared" ref="F34:F65" si="4">LEN(Y34)</f>
        <v>11</v>
      </c>
      <c r="G34" s="5" t="str">
        <f>UPPER(Table1[[#This Row],[Department]])</f>
        <v>IT</v>
      </c>
      <c r="H34" s="5" t="str">
        <f>LOWER(Table1[[#This Row],[Department]])</f>
        <v>it</v>
      </c>
      <c r="I34" s="5" t="str">
        <f>PROPER(Table1[[#This Row],[Department]])</f>
        <v>It</v>
      </c>
      <c r="J34" s="5" t="str">
        <f t="shared" ref="J34:J65" si="5">TRIM(Y34)</f>
        <v>Ngozi Bello</v>
      </c>
      <c r="K34" s="5" t="s">
        <v>89</v>
      </c>
      <c r="L34" s="5" t="s">
        <v>42</v>
      </c>
      <c r="M34" s="6">
        <v>472149</v>
      </c>
      <c r="N34" s="5">
        <v>7</v>
      </c>
      <c r="O34" s="5" t="s">
        <v>65</v>
      </c>
      <c r="Q34" s="5"/>
      <c r="R34" s="5"/>
      <c r="S34" s="5"/>
      <c r="T34" s="5"/>
      <c r="U34" s="5"/>
      <c r="V34" s="5"/>
      <c r="W34" s="5"/>
      <c r="X34" s="5"/>
      <c r="Y34" t="s">
        <v>93</v>
      </c>
    </row>
    <row r="35" spans="1:25">
      <c r="A35" s="5" t="s">
        <v>102</v>
      </c>
      <c r="B35" s="5" t="s">
        <v>175</v>
      </c>
      <c r="C35" s="5" t="s">
        <v>190</v>
      </c>
      <c r="D35" s="5" t="str">
        <f t="shared" si="3"/>
        <v>ibrahim.musa@dame.com</v>
      </c>
      <c r="E35" s="5" t="s">
        <v>51</v>
      </c>
      <c r="F35" s="5">
        <f t="shared" si="4"/>
        <v>12</v>
      </c>
      <c r="G35" s="5" t="str">
        <f>UPPER(Table1[[#This Row],[Department]])</f>
        <v>SALES</v>
      </c>
      <c r="H35" s="5" t="str">
        <f>LOWER(Table1[[#This Row],[Department]])</f>
        <v>sales</v>
      </c>
      <c r="I35" s="5" t="str">
        <f>PROPER(Table1[[#This Row],[Department]])</f>
        <v>Sales</v>
      </c>
      <c r="J35" s="5" t="str">
        <f t="shared" si="5"/>
        <v>Ibrahim Musa</v>
      </c>
      <c r="K35" s="5" t="s">
        <v>89</v>
      </c>
      <c r="L35" s="5" t="s">
        <v>42</v>
      </c>
      <c r="M35" s="6">
        <v>408551</v>
      </c>
      <c r="N35" s="5">
        <v>7</v>
      </c>
      <c r="O35" s="5" t="s">
        <v>65</v>
      </c>
      <c r="Q35" s="5"/>
      <c r="R35" s="5"/>
      <c r="S35" s="5"/>
      <c r="T35" s="5"/>
      <c r="U35" s="5"/>
      <c r="V35" s="5"/>
      <c r="W35" s="5"/>
      <c r="X35" s="5"/>
      <c r="Y35" t="s">
        <v>57</v>
      </c>
    </row>
    <row r="36" spans="1:25">
      <c r="A36" s="5" t="s">
        <v>103</v>
      </c>
      <c r="B36" s="5" t="s">
        <v>181</v>
      </c>
      <c r="C36" s="5" t="s">
        <v>196</v>
      </c>
      <c r="D36" s="5" t="str">
        <f t="shared" si="3"/>
        <v>ngozi.bello@dame.com</v>
      </c>
      <c r="E36" s="5" t="s">
        <v>51</v>
      </c>
      <c r="F36" s="5">
        <f t="shared" si="4"/>
        <v>11</v>
      </c>
      <c r="G36" s="5" t="str">
        <f>UPPER(Table1[[#This Row],[Department]])</f>
        <v>SALES</v>
      </c>
      <c r="H36" s="5" t="str">
        <f>LOWER(Table1[[#This Row],[Department]])</f>
        <v>sales</v>
      </c>
      <c r="I36" s="5" t="str">
        <f>PROPER(Table1[[#This Row],[Department]])</f>
        <v>Sales</v>
      </c>
      <c r="J36" s="5" t="str">
        <f t="shared" si="5"/>
        <v>Ngozi Bello</v>
      </c>
      <c r="K36" s="5" t="s">
        <v>89</v>
      </c>
      <c r="L36" s="5" t="s">
        <v>47</v>
      </c>
      <c r="M36" s="6">
        <v>334912</v>
      </c>
      <c r="N36" s="5">
        <v>2</v>
      </c>
      <c r="O36" s="5" t="s">
        <v>65</v>
      </c>
      <c r="Q36" s="5"/>
      <c r="R36" s="5"/>
      <c r="S36" s="5"/>
      <c r="T36" s="5"/>
      <c r="U36" s="5"/>
      <c r="V36" s="5"/>
      <c r="W36" s="5"/>
      <c r="X36" s="5"/>
      <c r="Y36" t="s">
        <v>93</v>
      </c>
    </row>
    <row r="37" spans="1:25">
      <c r="A37" s="5" t="s">
        <v>104</v>
      </c>
      <c r="B37" s="5" t="s">
        <v>179</v>
      </c>
      <c r="C37" s="5" t="s">
        <v>194</v>
      </c>
      <c r="D37" s="5" t="str">
        <f t="shared" si="3"/>
        <v>chika.umeh@dame.com</v>
      </c>
      <c r="E37" s="5" t="s">
        <v>53</v>
      </c>
      <c r="F37" s="5">
        <f t="shared" si="4"/>
        <v>10</v>
      </c>
      <c r="G37" s="5" t="str">
        <f>UPPER(Table1[[#This Row],[Department]])</f>
        <v>FINANCE</v>
      </c>
      <c r="H37" s="5" t="str">
        <f>LOWER(Table1[[#This Row],[Department]])</f>
        <v>finance</v>
      </c>
      <c r="I37" s="5" t="str">
        <f>PROPER(Table1[[#This Row],[Department]])</f>
        <v>Finance</v>
      </c>
      <c r="J37" s="5" t="str">
        <f t="shared" si="5"/>
        <v>Chika Umeh</v>
      </c>
      <c r="K37" s="5" t="s">
        <v>54</v>
      </c>
      <c r="L37" s="5" t="s">
        <v>47</v>
      </c>
      <c r="M37" s="6">
        <v>311844</v>
      </c>
      <c r="N37" s="5">
        <v>8</v>
      </c>
      <c r="O37" s="5" t="s">
        <v>55</v>
      </c>
      <c r="Q37" s="5"/>
      <c r="R37" s="5"/>
      <c r="S37" s="5"/>
      <c r="T37" s="5"/>
      <c r="U37" s="5"/>
      <c r="V37" s="5"/>
      <c r="W37" s="5"/>
      <c r="X37" s="5"/>
      <c r="Y37" t="s">
        <v>74</v>
      </c>
    </row>
    <row r="38" spans="1:25">
      <c r="A38" s="5" t="s">
        <v>105</v>
      </c>
      <c r="B38" s="5" t="s">
        <v>178</v>
      </c>
      <c r="C38" s="5" t="s">
        <v>193</v>
      </c>
      <c r="D38" s="5" t="str">
        <f t="shared" si="3"/>
        <v>tope.ade@dame.com</v>
      </c>
      <c r="E38" s="5" t="s">
        <v>45</v>
      </c>
      <c r="F38" s="5">
        <f t="shared" si="4"/>
        <v>8</v>
      </c>
      <c r="G38" s="5" t="str">
        <f>UPPER(Table1[[#This Row],[Department]])</f>
        <v>MARKETING</v>
      </c>
      <c r="H38" s="5" t="str">
        <f>LOWER(Table1[[#This Row],[Department]])</f>
        <v>marketing</v>
      </c>
      <c r="I38" s="5" t="str">
        <f>PROPER(Table1[[#This Row],[Department]])</f>
        <v>Marketing</v>
      </c>
      <c r="J38" s="5" t="str">
        <f t="shared" si="5"/>
        <v>Tope Ade</v>
      </c>
      <c r="K38" s="5" t="s">
        <v>41</v>
      </c>
      <c r="L38" s="5" t="s">
        <v>47</v>
      </c>
      <c r="M38" s="6">
        <v>222804</v>
      </c>
      <c r="N38" s="5">
        <v>8</v>
      </c>
      <c r="O38" s="5" t="s">
        <v>55</v>
      </c>
      <c r="Q38" s="5"/>
      <c r="R38" s="5"/>
      <c r="S38" s="5"/>
      <c r="T38" s="5"/>
      <c r="U38" s="5"/>
      <c r="V38" s="5"/>
      <c r="W38" s="5"/>
      <c r="X38" s="5"/>
      <c r="Y38" t="s">
        <v>69</v>
      </c>
    </row>
    <row r="39" spans="1:25">
      <c r="A39" s="5" t="s">
        <v>106</v>
      </c>
      <c r="B39" s="5" t="s">
        <v>173</v>
      </c>
      <c r="C39" s="5" t="s">
        <v>188</v>
      </c>
      <c r="D39" s="5" t="str">
        <f t="shared" si="3"/>
        <v>sade.bassey@dame.com</v>
      </c>
      <c r="E39" s="5" t="s">
        <v>53</v>
      </c>
      <c r="F39" s="5">
        <f t="shared" si="4"/>
        <v>11</v>
      </c>
      <c r="G39" s="5" t="str">
        <f>UPPER(Table1[[#This Row],[Department]])</f>
        <v>FINANCE</v>
      </c>
      <c r="H39" s="5" t="str">
        <f>LOWER(Table1[[#This Row],[Department]])</f>
        <v>finance</v>
      </c>
      <c r="I39" s="5" t="str">
        <f>PROPER(Table1[[#This Row],[Department]])</f>
        <v>Finance</v>
      </c>
      <c r="J39" s="5" t="str">
        <f t="shared" si="5"/>
        <v>Sade Bassey</v>
      </c>
      <c r="K39" s="5" t="s">
        <v>78</v>
      </c>
      <c r="L39" s="5" t="s">
        <v>42</v>
      </c>
      <c r="M39" s="6">
        <v>202674</v>
      </c>
      <c r="N39" s="5">
        <v>4</v>
      </c>
      <c r="O39" s="5" t="s">
        <v>43</v>
      </c>
      <c r="Q39" s="5"/>
      <c r="R39" s="5"/>
      <c r="S39" s="5"/>
      <c r="T39" s="5"/>
      <c r="U39" s="5"/>
      <c r="V39" s="5"/>
      <c r="W39" s="5"/>
      <c r="X39" s="5"/>
      <c r="Y39" t="s">
        <v>39</v>
      </c>
    </row>
    <row r="40" spans="1:25">
      <c r="A40" s="5" t="s">
        <v>107</v>
      </c>
      <c r="B40" s="5" t="s">
        <v>173</v>
      </c>
      <c r="C40" s="5" t="s">
        <v>188</v>
      </c>
      <c r="D40" s="5" t="str">
        <f t="shared" si="3"/>
        <v>sade.bassey@dame.com</v>
      </c>
      <c r="E40" s="5" t="s">
        <v>40</v>
      </c>
      <c r="F40" s="5">
        <f t="shared" si="4"/>
        <v>11</v>
      </c>
      <c r="G40" s="5" t="str">
        <f>UPPER(Table1[[#This Row],[Department]])</f>
        <v>IT</v>
      </c>
      <c r="H40" s="5" t="str">
        <f>LOWER(Table1[[#This Row],[Department]])</f>
        <v>it</v>
      </c>
      <c r="I40" s="5" t="str">
        <f>PROPER(Table1[[#This Row],[Department]])</f>
        <v>It</v>
      </c>
      <c r="J40" s="5" t="str">
        <f t="shared" si="5"/>
        <v>Sade Bassey</v>
      </c>
      <c r="K40" s="5" t="s">
        <v>75</v>
      </c>
      <c r="L40" s="5" t="s">
        <v>42</v>
      </c>
      <c r="M40" s="6">
        <v>481535</v>
      </c>
      <c r="N40" s="5">
        <v>10</v>
      </c>
      <c r="O40" s="5" t="s">
        <v>55</v>
      </c>
      <c r="Q40" s="5"/>
      <c r="R40" s="5"/>
      <c r="S40" s="5"/>
      <c r="T40" s="5"/>
      <c r="U40" s="5"/>
      <c r="V40" s="5"/>
      <c r="W40" s="5"/>
      <c r="X40" s="5"/>
      <c r="Y40" t="s">
        <v>39</v>
      </c>
    </row>
    <row r="41" spans="1:25">
      <c r="A41" s="5" t="s">
        <v>108</v>
      </c>
      <c r="B41" s="5" t="s">
        <v>177</v>
      </c>
      <c r="C41" s="5" t="s">
        <v>192</v>
      </c>
      <c r="D41" s="5" t="str">
        <f t="shared" si="3"/>
        <v>james.obi@dame.com</v>
      </c>
      <c r="E41" s="5" t="s">
        <v>53</v>
      </c>
      <c r="F41" s="5">
        <f t="shared" si="4"/>
        <v>9</v>
      </c>
      <c r="G41" s="5" t="str">
        <f>UPPER(Table1[[#This Row],[Department]])</f>
        <v>FINANCE</v>
      </c>
      <c r="H41" s="5" t="str">
        <f>LOWER(Table1[[#This Row],[Department]])</f>
        <v>finance</v>
      </c>
      <c r="I41" s="5" t="str">
        <f>PROPER(Table1[[#This Row],[Department]])</f>
        <v>Finance</v>
      </c>
      <c r="J41" s="5" t="str">
        <f t="shared" si="5"/>
        <v>James Obi</v>
      </c>
      <c r="K41" s="5" t="s">
        <v>54</v>
      </c>
      <c r="L41" s="5" t="s">
        <v>47</v>
      </c>
      <c r="M41" s="6">
        <v>338509</v>
      </c>
      <c r="N41" s="5">
        <v>1</v>
      </c>
      <c r="O41" s="5" t="s">
        <v>58</v>
      </c>
      <c r="Q41" s="5"/>
      <c r="R41" s="5"/>
      <c r="S41" s="5"/>
      <c r="T41" s="5"/>
      <c r="U41" s="5"/>
      <c r="V41" s="5"/>
      <c r="W41" s="5"/>
      <c r="X41" s="5"/>
      <c r="Y41" t="s">
        <v>63</v>
      </c>
    </row>
    <row r="42" spans="1:25">
      <c r="A42" s="5" t="s">
        <v>109</v>
      </c>
      <c r="B42" s="5" t="s">
        <v>173</v>
      </c>
      <c r="C42" s="5" t="s">
        <v>188</v>
      </c>
      <c r="D42" s="5" t="str">
        <f t="shared" si="3"/>
        <v>sade.bassey@dame.com</v>
      </c>
      <c r="E42" s="5" t="s">
        <v>51</v>
      </c>
      <c r="F42" s="5">
        <f t="shared" si="4"/>
        <v>11</v>
      </c>
      <c r="G42" s="5" t="str">
        <f>UPPER(Table1[[#This Row],[Department]])</f>
        <v>SALES</v>
      </c>
      <c r="H42" s="5" t="str">
        <f>LOWER(Table1[[#This Row],[Department]])</f>
        <v>sales</v>
      </c>
      <c r="I42" s="5" t="str">
        <f>PROPER(Table1[[#This Row],[Department]])</f>
        <v>Sales</v>
      </c>
      <c r="J42" s="5" t="str">
        <f t="shared" si="5"/>
        <v>Sade Bassey</v>
      </c>
      <c r="K42" s="5" t="s">
        <v>54</v>
      </c>
      <c r="L42" s="5" t="s">
        <v>42</v>
      </c>
      <c r="M42" s="6">
        <v>234031</v>
      </c>
      <c r="N42" s="5">
        <v>10</v>
      </c>
      <c r="O42" s="5" t="s">
        <v>48</v>
      </c>
      <c r="Q42" s="5"/>
      <c r="R42" s="5"/>
      <c r="S42" s="5"/>
      <c r="T42" s="5"/>
      <c r="U42" s="5"/>
      <c r="V42" s="5"/>
      <c r="W42" s="5"/>
      <c r="X42" s="5"/>
      <c r="Y42" t="s">
        <v>39</v>
      </c>
    </row>
    <row r="43" spans="1:25">
      <c r="A43" s="5" t="s">
        <v>110</v>
      </c>
      <c r="B43" s="5" t="s">
        <v>174</v>
      </c>
      <c r="C43" s="5" t="s">
        <v>189</v>
      </c>
      <c r="D43" s="5" t="str">
        <f t="shared" si="3"/>
        <v>faith.udo@dame.com</v>
      </c>
      <c r="E43" s="5" t="s">
        <v>51</v>
      </c>
      <c r="F43" s="5">
        <f t="shared" si="4"/>
        <v>9</v>
      </c>
      <c r="G43" s="5" t="str">
        <f>UPPER(Table1[[#This Row],[Department]])</f>
        <v>SALES</v>
      </c>
      <c r="H43" s="5" t="str">
        <f>LOWER(Table1[[#This Row],[Department]])</f>
        <v>sales</v>
      </c>
      <c r="I43" s="5" t="str">
        <f>PROPER(Table1[[#This Row],[Department]])</f>
        <v>Sales</v>
      </c>
      <c r="J43" s="5" t="str">
        <f t="shared" si="5"/>
        <v>Faith Udo</v>
      </c>
      <c r="K43" s="5" t="s">
        <v>61</v>
      </c>
      <c r="L43" s="5" t="s">
        <v>47</v>
      </c>
      <c r="M43" s="6">
        <v>265908</v>
      </c>
      <c r="N43" s="5">
        <v>7</v>
      </c>
      <c r="O43" s="5" t="s">
        <v>48</v>
      </c>
      <c r="Q43" s="5"/>
      <c r="R43" s="5"/>
      <c r="S43" s="5"/>
      <c r="T43" s="5"/>
      <c r="U43" s="5"/>
      <c r="V43" s="5"/>
      <c r="W43" s="5"/>
      <c r="X43" s="5"/>
      <c r="Y43" t="s">
        <v>50</v>
      </c>
    </row>
    <row r="44" spans="1:25">
      <c r="A44" s="5" t="s">
        <v>111</v>
      </c>
      <c r="B44" s="5" t="s">
        <v>179</v>
      </c>
      <c r="C44" s="5" t="s">
        <v>194</v>
      </c>
      <c r="D44" s="5" t="str">
        <f t="shared" si="3"/>
        <v>chika.umeh@dame.com</v>
      </c>
      <c r="E44" s="5" t="s">
        <v>40</v>
      </c>
      <c r="F44" s="5">
        <f t="shared" si="4"/>
        <v>10</v>
      </c>
      <c r="G44" s="5" t="str">
        <f>UPPER(Table1[[#This Row],[Department]])</f>
        <v>IT</v>
      </c>
      <c r="H44" s="5" t="str">
        <f>LOWER(Table1[[#This Row],[Department]])</f>
        <v>it</v>
      </c>
      <c r="I44" s="5" t="str">
        <f>PROPER(Table1[[#This Row],[Department]])</f>
        <v>It</v>
      </c>
      <c r="J44" s="5" t="str">
        <f t="shared" si="5"/>
        <v>Chika Umeh</v>
      </c>
      <c r="K44" s="5" t="s">
        <v>41</v>
      </c>
      <c r="L44" s="5" t="s">
        <v>47</v>
      </c>
      <c r="M44" s="6">
        <v>338554</v>
      </c>
      <c r="N44" s="5">
        <v>1</v>
      </c>
      <c r="O44" s="5" t="s">
        <v>48</v>
      </c>
      <c r="Q44" s="5"/>
      <c r="R44" s="5"/>
      <c r="S44" s="5"/>
      <c r="T44" s="5"/>
      <c r="U44" s="5"/>
      <c r="V44" s="5"/>
      <c r="W44" s="5"/>
      <c r="X44" s="5"/>
      <c r="Y44" t="s">
        <v>74</v>
      </c>
    </row>
    <row r="45" spans="1:25">
      <c r="A45" s="5" t="s">
        <v>112</v>
      </c>
      <c r="B45" s="5" t="s">
        <v>174</v>
      </c>
      <c r="C45" s="5" t="s">
        <v>189</v>
      </c>
      <c r="D45" s="5" t="str">
        <f t="shared" si="3"/>
        <v>faith.udo@dame.com</v>
      </c>
      <c r="E45" s="5" t="s">
        <v>45</v>
      </c>
      <c r="F45" s="5">
        <f t="shared" si="4"/>
        <v>9</v>
      </c>
      <c r="G45" s="5" t="str">
        <f>UPPER(Table1[[#This Row],[Department]])</f>
        <v>MARKETING</v>
      </c>
      <c r="H45" s="5" t="str">
        <f>LOWER(Table1[[#This Row],[Department]])</f>
        <v>marketing</v>
      </c>
      <c r="I45" s="5" t="str">
        <f>PROPER(Table1[[#This Row],[Department]])</f>
        <v>Marketing</v>
      </c>
      <c r="J45" s="5" t="str">
        <f t="shared" si="5"/>
        <v>Faith Udo</v>
      </c>
      <c r="K45" s="5" t="s">
        <v>78</v>
      </c>
      <c r="L45" s="5" t="s">
        <v>47</v>
      </c>
      <c r="M45" s="6">
        <v>413957</v>
      </c>
      <c r="N45" s="5">
        <v>3</v>
      </c>
      <c r="O45" s="5" t="s">
        <v>58</v>
      </c>
      <c r="Q45" s="5"/>
      <c r="R45" s="5"/>
      <c r="S45" s="5"/>
      <c r="T45" s="5"/>
      <c r="U45" s="5"/>
      <c r="V45" s="5"/>
      <c r="W45" s="5"/>
      <c r="X45" s="5"/>
      <c r="Y45" t="s">
        <v>50</v>
      </c>
    </row>
    <row r="46" spans="1:25">
      <c r="A46" s="5" t="s">
        <v>113</v>
      </c>
      <c r="B46" s="5" t="s">
        <v>173</v>
      </c>
      <c r="C46" s="5" t="s">
        <v>188</v>
      </c>
      <c r="D46" s="5" t="str">
        <f t="shared" si="3"/>
        <v>sade.bassey@dame.com</v>
      </c>
      <c r="E46" s="5" t="s">
        <v>70</v>
      </c>
      <c r="F46" s="5">
        <f t="shared" si="4"/>
        <v>11</v>
      </c>
      <c r="G46" s="5" t="str">
        <f>UPPER(Table1[[#This Row],[Department]])</f>
        <v>HR</v>
      </c>
      <c r="H46" s="5" t="str">
        <f>LOWER(Table1[[#This Row],[Department]])</f>
        <v>hr</v>
      </c>
      <c r="I46" s="5" t="str">
        <f>PROPER(Table1[[#This Row],[Department]])</f>
        <v>Hr</v>
      </c>
      <c r="J46" s="5" t="str">
        <f t="shared" si="5"/>
        <v>Sade Bassey</v>
      </c>
      <c r="K46" s="5" t="s">
        <v>41</v>
      </c>
      <c r="L46" s="5" t="s">
        <v>42</v>
      </c>
      <c r="M46" s="6">
        <v>485264</v>
      </c>
      <c r="N46" s="5">
        <v>1</v>
      </c>
      <c r="O46" s="5" t="s">
        <v>55</v>
      </c>
      <c r="Q46" s="5"/>
      <c r="R46" s="5"/>
      <c r="S46" s="5"/>
      <c r="T46" s="5"/>
      <c r="U46" s="5"/>
      <c r="V46" s="5"/>
      <c r="W46" s="5"/>
      <c r="X46" s="5"/>
      <c r="Y46" t="s">
        <v>39</v>
      </c>
    </row>
    <row r="47" spans="1:25">
      <c r="A47" s="5" t="s">
        <v>114</v>
      </c>
      <c r="B47" s="5" t="s">
        <v>179</v>
      </c>
      <c r="C47" s="5" t="s">
        <v>194</v>
      </c>
      <c r="D47" s="5" t="str">
        <f t="shared" si="3"/>
        <v>chika.umeh@dame.com</v>
      </c>
      <c r="E47" s="5" t="s">
        <v>51</v>
      </c>
      <c r="F47" s="5">
        <f t="shared" si="4"/>
        <v>10</v>
      </c>
      <c r="G47" s="5" t="str">
        <f>UPPER(Table1[[#This Row],[Department]])</f>
        <v>SALES</v>
      </c>
      <c r="H47" s="5" t="str">
        <f>LOWER(Table1[[#This Row],[Department]])</f>
        <v>sales</v>
      </c>
      <c r="I47" s="5" t="str">
        <f>PROPER(Table1[[#This Row],[Department]])</f>
        <v>Sales</v>
      </c>
      <c r="J47" s="5" t="str">
        <f t="shared" si="5"/>
        <v>Chika Umeh</v>
      </c>
      <c r="K47" s="5" t="s">
        <v>78</v>
      </c>
      <c r="L47" s="5" t="s">
        <v>42</v>
      </c>
      <c r="M47" s="6">
        <v>363350</v>
      </c>
      <c r="N47" s="5">
        <v>1</v>
      </c>
      <c r="O47" s="5" t="s">
        <v>48</v>
      </c>
      <c r="Q47" s="5"/>
      <c r="R47" s="5"/>
      <c r="S47" s="5"/>
      <c r="T47" s="5"/>
      <c r="U47" s="5"/>
      <c r="V47" s="5"/>
      <c r="W47" s="5"/>
      <c r="X47" s="5"/>
      <c r="Y47" t="s">
        <v>74</v>
      </c>
    </row>
    <row r="48" spans="1:25">
      <c r="A48" s="5" t="s">
        <v>115</v>
      </c>
      <c r="B48" s="5" t="s">
        <v>176</v>
      </c>
      <c r="C48" s="5" t="s">
        <v>191</v>
      </c>
      <c r="D48" s="5" t="str">
        <f t="shared" si="3"/>
        <v>tunde.salisu@dame.com</v>
      </c>
      <c r="E48" s="5" t="s">
        <v>70</v>
      </c>
      <c r="F48" s="5">
        <f t="shared" si="4"/>
        <v>12</v>
      </c>
      <c r="G48" s="5" t="str">
        <f>UPPER(Table1[[#This Row],[Department]])</f>
        <v>HR</v>
      </c>
      <c r="H48" s="5" t="str">
        <f>LOWER(Table1[[#This Row],[Department]])</f>
        <v>hr</v>
      </c>
      <c r="I48" s="5" t="str">
        <f>PROPER(Table1[[#This Row],[Department]])</f>
        <v>Hr</v>
      </c>
      <c r="J48" s="5" t="str">
        <f t="shared" si="5"/>
        <v>Tunde Salisu</v>
      </c>
      <c r="K48" s="5" t="s">
        <v>46</v>
      </c>
      <c r="L48" s="5" t="s">
        <v>42</v>
      </c>
      <c r="M48" s="6">
        <v>428005</v>
      </c>
      <c r="N48" s="5">
        <v>4</v>
      </c>
      <c r="O48" s="5" t="s">
        <v>55</v>
      </c>
      <c r="Q48" s="5"/>
      <c r="R48" s="5"/>
      <c r="S48" s="5"/>
      <c r="T48" s="5"/>
      <c r="U48" s="5"/>
      <c r="V48" s="5"/>
      <c r="W48" s="5"/>
      <c r="X48" s="5"/>
      <c r="Y48" t="s">
        <v>60</v>
      </c>
    </row>
    <row r="49" spans="1:25">
      <c r="A49" s="5" t="s">
        <v>116</v>
      </c>
      <c r="B49" s="5" t="s">
        <v>182</v>
      </c>
      <c r="C49" s="5" t="s">
        <v>197</v>
      </c>
      <c r="D49" s="5" t="str">
        <f t="shared" si="3"/>
        <v>emeka.john@dame.com</v>
      </c>
      <c r="E49" s="5" t="s">
        <v>70</v>
      </c>
      <c r="F49" s="5">
        <f t="shared" si="4"/>
        <v>10</v>
      </c>
      <c r="G49" s="5" t="str">
        <f>UPPER(Table1[[#This Row],[Department]])</f>
        <v>HR</v>
      </c>
      <c r="H49" s="5" t="str">
        <f>LOWER(Table1[[#This Row],[Department]])</f>
        <v>hr</v>
      </c>
      <c r="I49" s="5" t="str">
        <f>PROPER(Table1[[#This Row],[Department]])</f>
        <v>Hr</v>
      </c>
      <c r="J49" s="5" t="str">
        <f t="shared" si="5"/>
        <v>Emeka John</v>
      </c>
      <c r="K49" s="5" t="s">
        <v>61</v>
      </c>
      <c r="L49" s="5" t="s">
        <v>47</v>
      </c>
      <c r="M49" s="6">
        <v>326652</v>
      </c>
      <c r="N49" s="5">
        <v>6</v>
      </c>
      <c r="O49" s="5" t="s">
        <v>55</v>
      </c>
      <c r="Q49" s="5"/>
      <c r="R49" s="5"/>
      <c r="S49" s="5"/>
      <c r="T49" s="5"/>
      <c r="U49" s="5"/>
      <c r="V49" s="5"/>
      <c r="W49" s="5"/>
      <c r="X49" s="5"/>
      <c r="Y49" t="s">
        <v>117</v>
      </c>
    </row>
    <row r="50" spans="1:25">
      <c r="A50" s="5" t="s">
        <v>118</v>
      </c>
      <c r="B50" s="5" t="s">
        <v>173</v>
      </c>
      <c r="C50" s="5" t="s">
        <v>188</v>
      </c>
      <c r="D50" s="5" t="str">
        <f t="shared" si="3"/>
        <v>sade.bassey@dame.com</v>
      </c>
      <c r="E50" s="5" t="s">
        <v>70</v>
      </c>
      <c r="F50" s="5">
        <f t="shared" si="4"/>
        <v>11</v>
      </c>
      <c r="G50" s="5" t="str">
        <f>UPPER(Table1[[#This Row],[Department]])</f>
        <v>HR</v>
      </c>
      <c r="H50" s="5" t="str">
        <f>LOWER(Table1[[#This Row],[Department]])</f>
        <v>hr</v>
      </c>
      <c r="I50" s="5" t="str">
        <f>PROPER(Table1[[#This Row],[Department]])</f>
        <v>Hr</v>
      </c>
      <c r="J50" s="5" t="str">
        <f t="shared" si="5"/>
        <v>Sade Bassey</v>
      </c>
      <c r="K50" s="5" t="s">
        <v>78</v>
      </c>
      <c r="L50" s="5" t="s">
        <v>47</v>
      </c>
      <c r="M50" s="6">
        <v>421377</v>
      </c>
      <c r="N50" s="5">
        <v>4</v>
      </c>
      <c r="O50" s="5" t="s">
        <v>43</v>
      </c>
      <c r="Q50" s="5"/>
      <c r="R50" s="5"/>
      <c r="S50" s="5"/>
      <c r="T50" s="5"/>
      <c r="U50" s="5"/>
      <c r="V50" s="5"/>
      <c r="W50" s="5"/>
      <c r="X50" s="5"/>
      <c r="Y50" t="s">
        <v>39</v>
      </c>
    </row>
    <row r="51" spans="1:25">
      <c r="A51" s="5" t="s">
        <v>119</v>
      </c>
      <c r="B51" s="5" t="s">
        <v>182</v>
      </c>
      <c r="C51" s="5" t="s">
        <v>197</v>
      </c>
      <c r="D51" s="5" t="str">
        <f t="shared" si="3"/>
        <v>emeka.john@dame.com</v>
      </c>
      <c r="E51" s="5" t="s">
        <v>53</v>
      </c>
      <c r="F51" s="5">
        <f t="shared" si="4"/>
        <v>10</v>
      </c>
      <c r="G51" s="5" t="str">
        <f>UPPER(Table1[[#This Row],[Department]])</f>
        <v>FINANCE</v>
      </c>
      <c r="H51" s="5" t="str">
        <f>LOWER(Table1[[#This Row],[Department]])</f>
        <v>finance</v>
      </c>
      <c r="I51" s="5" t="str">
        <f>PROPER(Table1[[#This Row],[Department]])</f>
        <v>Finance</v>
      </c>
      <c r="J51" s="5" t="str">
        <f t="shared" si="5"/>
        <v>Emeka John</v>
      </c>
      <c r="K51" s="5" t="s">
        <v>46</v>
      </c>
      <c r="L51" s="5" t="s">
        <v>42</v>
      </c>
      <c r="M51" s="6">
        <v>433017</v>
      </c>
      <c r="N51" s="5">
        <v>3</v>
      </c>
      <c r="O51" s="5" t="s">
        <v>48</v>
      </c>
      <c r="Q51" s="5"/>
      <c r="R51" s="5"/>
      <c r="S51" s="5"/>
      <c r="T51" s="5"/>
      <c r="U51" s="5"/>
      <c r="V51" s="5"/>
      <c r="W51" s="5"/>
      <c r="X51" s="5"/>
      <c r="Y51" t="s">
        <v>117</v>
      </c>
    </row>
    <row r="52" spans="1:25">
      <c r="A52" s="5" t="s">
        <v>120</v>
      </c>
      <c r="B52" s="5" t="s">
        <v>177</v>
      </c>
      <c r="C52" s="5" t="s">
        <v>192</v>
      </c>
      <c r="D52" s="5" t="str">
        <f t="shared" si="3"/>
        <v>james.obi@dame.com</v>
      </c>
      <c r="E52" s="5" t="s">
        <v>70</v>
      </c>
      <c r="F52" s="5">
        <f t="shared" si="4"/>
        <v>9</v>
      </c>
      <c r="G52" s="5" t="str">
        <f>UPPER(Table1[[#This Row],[Department]])</f>
        <v>HR</v>
      </c>
      <c r="H52" s="5" t="str">
        <f>LOWER(Table1[[#This Row],[Department]])</f>
        <v>hr</v>
      </c>
      <c r="I52" s="5" t="str">
        <f>PROPER(Table1[[#This Row],[Department]])</f>
        <v>Hr</v>
      </c>
      <c r="J52" s="5" t="str">
        <f t="shared" si="5"/>
        <v>James Obi</v>
      </c>
      <c r="K52" s="5" t="s">
        <v>75</v>
      </c>
      <c r="L52" s="5" t="s">
        <v>42</v>
      </c>
      <c r="M52" s="6">
        <v>353050</v>
      </c>
      <c r="N52" s="5">
        <v>7</v>
      </c>
      <c r="O52" s="5" t="s">
        <v>55</v>
      </c>
      <c r="Q52" s="5"/>
      <c r="R52" s="5"/>
      <c r="S52" s="5"/>
      <c r="T52" s="5"/>
      <c r="U52" s="5"/>
      <c r="V52" s="5"/>
      <c r="W52" s="5"/>
      <c r="X52" s="5"/>
      <c r="Y52" t="s">
        <v>63</v>
      </c>
    </row>
    <row r="53" spans="1:25">
      <c r="A53" s="5" t="s">
        <v>121</v>
      </c>
      <c r="B53" s="5" t="s">
        <v>181</v>
      </c>
      <c r="C53" s="5" t="s">
        <v>196</v>
      </c>
      <c r="D53" s="5" t="str">
        <f t="shared" si="3"/>
        <v>ngozi.bello@dame.com</v>
      </c>
      <c r="E53" s="5" t="s">
        <v>40</v>
      </c>
      <c r="F53" s="5">
        <f t="shared" si="4"/>
        <v>11</v>
      </c>
      <c r="G53" s="5" t="str">
        <f>UPPER(Table1[[#This Row],[Department]])</f>
        <v>IT</v>
      </c>
      <c r="H53" s="5" t="str">
        <f>LOWER(Table1[[#This Row],[Department]])</f>
        <v>it</v>
      </c>
      <c r="I53" s="5" t="str">
        <f>PROPER(Table1[[#This Row],[Department]])</f>
        <v>It</v>
      </c>
      <c r="J53" s="5" t="str">
        <f t="shared" si="5"/>
        <v>Ngozi Bello</v>
      </c>
      <c r="K53" s="5" t="s">
        <v>46</v>
      </c>
      <c r="L53" s="5" t="s">
        <v>42</v>
      </c>
      <c r="M53" s="6">
        <v>450941</v>
      </c>
      <c r="N53" s="5">
        <v>3</v>
      </c>
      <c r="O53" s="5" t="s">
        <v>55</v>
      </c>
      <c r="Q53" s="5"/>
      <c r="R53" s="5"/>
      <c r="S53" s="5"/>
      <c r="T53" s="5"/>
      <c r="U53" s="5"/>
      <c r="V53" s="5"/>
      <c r="W53" s="5"/>
      <c r="X53" s="5"/>
      <c r="Y53" t="s">
        <v>93</v>
      </c>
    </row>
    <row r="54" spans="1:25">
      <c r="A54" s="5" t="s">
        <v>122</v>
      </c>
      <c r="B54" s="5" t="s">
        <v>174</v>
      </c>
      <c r="C54" s="5" t="s">
        <v>189</v>
      </c>
      <c r="D54" s="5" t="str">
        <f t="shared" si="3"/>
        <v>faith.udo@dame.com</v>
      </c>
      <c r="E54" s="5" t="s">
        <v>53</v>
      </c>
      <c r="F54" s="5">
        <f t="shared" si="4"/>
        <v>9</v>
      </c>
      <c r="G54" s="5" t="str">
        <f>UPPER(Table1[[#This Row],[Department]])</f>
        <v>FINANCE</v>
      </c>
      <c r="H54" s="5" t="str">
        <f>LOWER(Table1[[#This Row],[Department]])</f>
        <v>finance</v>
      </c>
      <c r="I54" s="5" t="str">
        <f>PROPER(Table1[[#This Row],[Department]])</f>
        <v>Finance</v>
      </c>
      <c r="J54" s="5" t="str">
        <f t="shared" si="5"/>
        <v>Faith Udo</v>
      </c>
      <c r="K54" s="5" t="s">
        <v>75</v>
      </c>
      <c r="L54" s="5" t="s">
        <v>42</v>
      </c>
      <c r="M54" s="6">
        <v>337560</v>
      </c>
      <c r="N54" s="5">
        <v>2</v>
      </c>
      <c r="O54" s="5" t="s">
        <v>48</v>
      </c>
      <c r="Q54" s="5"/>
      <c r="R54" s="5"/>
      <c r="S54" s="5"/>
      <c r="T54" s="5"/>
      <c r="U54" s="5"/>
      <c r="V54" s="5"/>
      <c r="W54" s="5"/>
      <c r="X54" s="5"/>
      <c r="Y54" t="s">
        <v>50</v>
      </c>
    </row>
    <row r="55" spans="1:25">
      <c r="A55" s="5" t="s">
        <v>123</v>
      </c>
      <c r="B55" s="5" t="s">
        <v>173</v>
      </c>
      <c r="C55" s="5" t="s">
        <v>188</v>
      </c>
      <c r="D55" s="5" t="str">
        <f t="shared" si="3"/>
        <v>sade.bassey@dame.com</v>
      </c>
      <c r="E55" s="5" t="s">
        <v>51</v>
      </c>
      <c r="F55" s="5">
        <f t="shared" si="4"/>
        <v>11</v>
      </c>
      <c r="G55" s="5" t="str">
        <f>UPPER(Table1[[#This Row],[Department]])</f>
        <v>SALES</v>
      </c>
      <c r="H55" s="5" t="str">
        <f>LOWER(Table1[[#This Row],[Department]])</f>
        <v>sales</v>
      </c>
      <c r="I55" s="5" t="str">
        <f>PROPER(Table1[[#This Row],[Department]])</f>
        <v>Sales</v>
      </c>
      <c r="J55" s="5" t="str">
        <f t="shared" si="5"/>
        <v>Sade Bassey</v>
      </c>
      <c r="K55" s="5" t="s">
        <v>89</v>
      </c>
      <c r="L55" s="5" t="s">
        <v>47</v>
      </c>
      <c r="M55" s="6">
        <v>325849</v>
      </c>
      <c r="N55" s="5">
        <v>2</v>
      </c>
      <c r="O55" s="5" t="s">
        <v>58</v>
      </c>
      <c r="Q55" s="5"/>
      <c r="R55" s="5"/>
      <c r="S55" s="5"/>
      <c r="T55" s="5"/>
      <c r="U55" s="5"/>
      <c r="V55" s="5"/>
      <c r="W55" s="5"/>
      <c r="X55" s="5"/>
      <c r="Y55" t="s">
        <v>39</v>
      </c>
    </row>
    <row r="56" spans="1:25">
      <c r="A56" s="5" t="s">
        <v>124</v>
      </c>
      <c r="B56" s="5" t="s">
        <v>182</v>
      </c>
      <c r="C56" s="5" t="s">
        <v>197</v>
      </c>
      <c r="D56" s="5" t="str">
        <f t="shared" si="3"/>
        <v>emeka.john@dame.com</v>
      </c>
      <c r="E56" s="5" t="s">
        <v>45</v>
      </c>
      <c r="F56" s="5">
        <f t="shared" si="4"/>
        <v>10</v>
      </c>
      <c r="G56" s="5" t="str">
        <f>UPPER(Table1[[#This Row],[Department]])</f>
        <v>MARKETING</v>
      </c>
      <c r="H56" s="5" t="str">
        <f>LOWER(Table1[[#This Row],[Department]])</f>
        <v>marketing</v>
      </c>
      <c r="I56" s="5" t="str">
        <f>PROPER(Table1[[#This Row],[Department]])</f>
        <v>Marketing</v>
      </c>
      <c r="J56" s="5" t="str">
        <f t="shared" si="5"/>
        <v>Emeka John</v>
      </c>
      <c r="K56" s="5" t="s">
        <v>89</v>
      </c>
      <c r="L56" s="5" t="s">
        <v>47</v>
      </c>
      <c r="M56" s="6">
        <v>252488</v>
      </c>
      <c r="N56" s="5">
        <v>5</v>
      </c>
      <c r="O56" s="5" t="s">
        <v>55</v>
      </c>
      <c r="Q56" s="5"/>
      <c r="R56" s="5"/>
      <c r="S56" s="5"/>
      <c r="T56" s="5"/>
      <c r="U56" s="5"/>
      <c r="V56" s="5"/>
      <c r="W56" s="5"/>
      <c r="X56" s="5"/>
      <c r="Y56" t="s">
        <v>117</v>
      </c>
    </row>
    <row r="57" spans="1:25">
      <c r="A57" s="5" t="s">
        <v>125</v>
      </c>
      <c r="B57" s="5" t="s">
        <v>182</v>
      </c>
      <c r="C57" s="5" t="s">
        <v>197</v>
      </c>
      <c r="D57" s="5" t="str">
        <f t="shared" si="3"/>
        <v>emeka.john@dame.com</v>
      </c>
      <c r="E57" s="5" t="s">
        <v>53</v>
      </c>
      <c r="F57" s="5">
        <f t="shared" si="4"/>
        <v>10</v>
      </c>
      <c r="G57" s="5" t="str">
        <f>UPPER(Table1[[#This Row],[Department]])</f>
        <v>FINANCE</v>
      </c>
      <c r="H57" s="5" t="str">
        <f>LOWER(Table1[[#This Row],[Department]])</f>
        <v>finance</v>
      </c>
      <c r="I57" s="5" t="str">
        <f>PROPER(Table1[[#This Row],[Department]])</f>
        <v>Finance</v>
      </c>
      <c r="J57" s="5" t="str">
        <f t="shared" si="5"/>
        <v>Emeka John</v>
      </c>
      <c r="K57" s="5" t="s">
        <v>72</v>
      </c>
      <c r="L57" s="5" t="s">
        <v>47</v>
      </c>
      <c r="M57" s="6">
        <v>261616</v>
      </c>
      <c r="N57" s="5">
        <v>2</v>
      </c>
      <c r="O57" s="5" t="s">
        <v>48</v>
      </c>
      <c r="Q57" s="5"/>
      <c r="R57" s="5"/>
      <c r="S57" s="5"/>
      <c r="T57" s="5"/>
      <c r="U57" s="5"/>
      <c r="V57" s="5"/>
      <c r="W57" s="5"/>
      <c r="X57" s="5"/>
      <c r="Y57" t="s">
        <v>117</v>
      </c>
    </row>
    <row r="58" spans="1:25">
      <c r="A58" s="5" t="s">
        <v>126</v>
      </c>
      <c r="B58" s="5" t="s">
        <v>177</v>
      </c>
      <c r="C58" s="5" t="s">
        <v>192</v>
      </c>
      <c r="D58" s="5" t="str">
        <f t="shared" si="3"/>
        <v>james.obi@dame.com</v>
      </c>
      <c r="E58" s="5" t="s">
        <v>45</v>
      </c>
      <c r="F58" s="5">
        <f t="shared" si="4"/>
        <v>9</v>
      </c>
      <c r="G58" s="5" t="str">
        <f>UPPER(Table1[[#This Row],[Department]])</f>
        <v>MARKETING</v>
      </c>
      <c r="H58" s="5" t="str">
        <f>LOWER(Table1[[#This Row],[Department]])</f>
        <v>marketing</v>
      </c>
      <c r="I58" s="5" t="str">
        <f>PROPER(Table1[[#This Row],[Department]])</f>
        <v>Marketing</v>
      </c>
      <c r="J58" s="5" t="str">
        <f t="shared" si="5"/>
        <v>James Obi</v>
      </c>
      <c r="K58" s="5" t="s">
        <v>72</v>
      </c>
      <c r="L58" s="5" t="s">
        <v>42</v>
      </c>
      <c r="M58" s="6">
        <v>296968</v>
      </c>
      <c r="N58" s="5">
        <v>4</v>
      </c>
      <c r="O58" s="5" t="s">
        <v>48</v>
      </c>
      <c r="Q58" s="5"/>
      <c r="R58" s="5"/>
      <c r="S58" s="5"/>
      <c r="T58" s="5"/>
      <c r="U58" s="5"/>
      <c r="V58" s="5"/>
      <c r="W58" s="5"/>
      <c r="X58" s="5"/>
      <c r="Y58" t="s">
        <v>63</v>
      </c>
    </row>
    <row r="59" spans="1:25">
      <c r="A59" s="5" t="s">
        <v>127</v>
      </c>
      <c r="B59" s="5" t="s">
        <v>182</v>
      </c>
      <c r="C59" s="5" t="s">
        <v>197</v>
      </c>
      <c r="D59" s="5" t="str">
        <f t="shared" si="3"/>
        <v>emeka.john@dame.com</v>
      </c>
      <c r="E59" s="5" t="s">
        <v>40</v>
      </c>
      <c r="F59" s="5">
        <f t="shared" si="4"/>
        <v>10</v>
      </c>
      <c r="G59" s="5" t="str">
        <f>UPPER(Table1[[#This Row],[Department]])</f>
        <v>IT</v>
      </c>
      <c r="H59" s="5" t="str">
        <f>LOWER(Table1[[#This Row],[Department]])</f>
        <v>it</v>
      </c>
      <c r="I59" s="5" t="str">
        <f>PROPER(Table1[[#This Row],[Department]])</f>
        <v>It</v>
      </c>
      <c r="J59" s="5" t="str">
        <f t="shared" si="5"/>
        <v>Emeka John</v>
      </c>
      <c r="K59" s="5" t="s">
        <v>72</v>
      </c>
      <c r="L59" s="5" t="s">
        <v>47</v>
      </c>
      <c r="M59" s="6">
        <v>369656</v>
      </c>
      <c r="N59" s="5">
        <v>8</v>
      </c>
      <c r="O59" s="5" t="s">
        <v>55</v>
      </c>
      <c r="Q59" s="5"/>
      <c r="R59" s="5"/>
      <c r="S59" s="5"/>
      <c r="T59" s="5"/>
      <c r="U59" s="5"/>
      <c r="V59" s="5"/>
      <c r="W59" s="5"/>
      <c r="X59" s="5"/>
      <c r="Y59" t="s">
        <v>117</v>
      </c>
    </row>
    <row r="60" spans="1:25">
      <c r="A60" s="5" t="s">
        <v>128</v>
      </c>
      <c r="B60" s="5" t="s">
        <v>181</v>
      </c>
      <c r="C60" s="5" t="s">
        <v>196</v>
      </c>
      <c r="D60" s="5" t="str">
        <f t="shared" si="3"/>
        <v>ngozi.bello@dame.com</v>
      </c>
      <c r="E60" s="5" t="s">
        <v>45</v>
      </c>
      <c r="F60" s="5">
        <f t="shared" si="4"/>
        <v>11</v>
      </c>
      <c r="G60" s="5" t="str">
        <f>UPPER(Table1[[#This Row],[Department]])</f>
        <v>MARKETING</v>
      </c>
      <c r="H60" s="5" t="str">
        <f>LOWER(Table1[[#This Row],[Department]])</f>
        <v>marketing</v>
      </c>
      <c r="I60" s="5" t="str">
        <f>PROPER(Table1[[#This Row],[Department]])</f>
        <v>Marketing</v>
      </c>
      <c r="J60" s="5" t="str">
        <f t="shared" si="5"/>
        <v>Ngozi Bello</v>
      </c>
      <c r="K60" s="5" t="s">
        <v>61</v>
      </c>
      <c r="L60" s="5" t="s">
        <v>42</v>
      </c>
      <c r="M60" s="6">
        <v>385249</v>
      </c>
      <c r="N60" s="5">
        <v>3</v>
      </c>
      <c r="O60" s="5" t="s">
        <v>48</v>
      </c>
      <c r="Q60" s="5"/>
      <c r="R60" s="5"/>
      <c r="S60" s="5"/>
      <c r="T60" s="5"/>
      <c r="U60" s="5"/>
      <c r="V60" s="5"/>
      <c r="W60" s="5"/>
      <c r="X60" s="5"/>
      <c r="Y60" t="s">
        <v>93</v>
      </c>
    </row>
    <row r="61" spans="1:25">
      <c r="A61" s="5" t="s">
        <v>129</v>
      </c>
      <c r="B61" s="5" t="s">
        <v>174</v>
      </c>
      <c r="C61" s="5" t="s">
        <v>189</v>
      </c>
      <c r="D61" s="5" t="str">
        <f t="shared" si="3"/>
        <v>faith.udo@dame.com</v>
      </c>
      <c r="E61" s="5" t="s">
        <v>40</v>
      </c>
      <c r="F61" s="5">
        <f t="shared" si="4"/>
        <v>9</v>
      </c>
      <c r="G61" s="5" t="str">
        <f>UPPER(Table1[[#This Row],[Department]])</f>
        <v>IT</v>
      </c>
      <c r="H61" s="5" t="str">
        <f>LOWER(Table1[[#This Row],[Department]])</f>
        <v>it</v>
      </c>
      <c r="I61" s="5" t="str">
        <f>PROPER(Table1[[#This Row],[Department]])</f>
        <v>It</v>
      </c>
      <c r="J61" s="5" t="str">
        <f t="shared" si="5"/>
        <v>Faith Udo</v>
      </c>
      <c r="K61" s="5" t="s">
        <v>89</v>
      </c>
      <c r="L61" s="5" t="s">
        <v>42</v>
      </c>
      <c r="M61" s="6">
        <v>485946</v>
      </c>
      <c r="N61" s="5">
        <v>4</v>
      </c>
      <c r="O61" s="5" t="s">
        <v>58</v>
      </c>
      <c r="Q61" s="5"/>
      <c r="R61" s="5"/>
      <c r="S61" s="5"/>
      <c r="T61" s="5"/>
      <c r="U61" s="5"/>
      <c r="V61" s="5"/>
      <c r="W61" s="5"/>
      <c r="X61" s="5"/>
      <c r="Y61" t="s">
        <v>50</v>
      </c>
    </row>
    <row r="62" spans="1:25">
      <c r="A62" s="5" t="s">
        <v>130</v>
      </c>
      <c r="B62" s="5" t="s">
        <v>181</v>
      </c>
      <c r="C62" s="5" t="s">
        <v>196</v>
      </c>
      <c r="D62" s="5" t="str">
        <f t="shared" si="3"/>
        <v>ngozi.bello@dame.com</v>
      </c>
      <c r="E62" s="5" t="s">
        <v>53</v>
      </c>
      <c r="F62" s="5">
        <f t="shared" si="4"/>
        <v>11</v>
      </c>
      <c r="G62" s="5" t="str">
        <f>UPPER(Table1[[#This Row],[Department]])</f>
        <v>FINANCE</v>
      </c>
      <c r="H62" s="5" t="str">
        <f>LOWER(Table1[[#This Row],[Department]])</f>
        <v>finance</v>
      </c>
      <c r="I62" s="5" t="str">
        <f>PROPER(Table1[[#This Row],[Department]])</f>
        <v>Finance</v>
      </c>
      <c r="J62" s="5" t="str">
        <f t="shared" si="5"/>
        <v>Ngozi Bello</v>
      </c>
      <c r="K62" s="5" t="s">
        <v>46</v>
      </c>
      <c r="L62" s="5" t="s">
        <v>47</v>
      </c>
      <c r="M62" s="6">
        <v>481575</v>
      </c>
      <c r="N62" s="5">
        <v>3</v>
      </c>
      <c r="O62" s="5" t="s">
        <v>48</v>
      </c>
      <c r="Q62" s="5"/>
      <c r="R62" s="5"/>
      <c r="S62" s="5"/>
      <c r="T62" s="5"/>
      <c r="U62" s="5"/>
      <c r="V62" s="5"/>
      <c r="W62" s="5"/>
      <c r="X62" s="5"/>
      <c r="Y62" t="s">
        <v>93</v>
      </c>
    </row>
    <row r="63" spans="1:25">
      <c r="A63" s="5" t="s">
        <v>131</v>
      </c>
      <c r="B63" s="5" t="s">
        <v>179</v>
      </c>
      <c r="C63" s="5" t="s">
        <v>194</v>
      </c>
      <c r="D63" s="5" t="str">
        <f t="shared" si="3"/>
        <v>chika.umeh@dame.com</v>
      </c>
      <c r="E63" s="5" t="s">
        <v>40</v>
      </c>
      <c r="F63" s="5">
        <f t="shared" si="4"/>
        <v>10</v>
      </c>
      <c r="G63" s="5" t="str">
        <f>UPPER(Table1[[#This Row],[Department]])</f>
        <v>IT</v>
      </c>
      <c r="H63" s="5" t="str">
        <f>LOWER(Table1[[#This Row],[Department]])</f>
        <v>it</v>
      </c>
      <c r="I63" s="5" t="str">
        <f>PROPER(Table1[[#This Row],[Department]])</f>
        <v>It</v>
      </c>
      <c r="J63" s="5" t="str">
        <f t="shared" si="5"/>
        <v>Chika Umeh</v>
      </c>
      <c r="K63" s="5" t="s">
        <v>46</v>
      </c>
      <c r="L63" s="5" t="s">
        <v>47</v>
      </c>
      <c r="M63" s="6">
        <v>345273</v>
      </c>
      <c r="N63" s="5">
        <v>6</v>
      </c>
      <c r="O63" s="5" t="s">
        <v>48</v>
      </c>
      <c r="Q63" s="5"/>
      <c r="R63" s="5"/>
      <c r="S63" s="5"/>
      <c r="T63" s="5"/>
      <c r="U63" s="5"/>
      <c r="V63" s="5"/>
      <c r="W63" s="5"/>
      <c r="X63" s="5"/>
      <c r="Y63" t="s">
        <v>74</v>
      </c>
    </row>
    <row r="64" spans="1:25">
      <c r="A64" s="5" t="s">
        <v>132</v>
      </c>
      <c r="B64" s="5" t="s">
        <v>180</v>
      </c>
      <c r="C64" s="5" t="s">
        <v>195</v>
      </c>
      <c r="D64" s="5" t="str">
        <f t="shared" si="3"/>
        <v>maria.okafor@dame.com</v>
      </c>
      <c r="E64" s="5" t="s">
        <v>40</v>
      </c>
      <c r="F64" s="5">
        <f t="shared" si="4"/>
        <v>12</v>
      </c>
      <c r="G64" s="5" t="str">
        <f>UPPER(Table1[[#This Row],[Department]])</f>
        <v>IT</v>
      </c>
      <c r="H64" s="5" t="str">
        <f>LOWER(Table1[[#This Row],[Department]])</f>
        <v>it</v>
      </c>
      <c r="I64" s="5" t="str">
        <f>PROPER(Table1[[#This Row],[Department]])</f>
        <v>It</v>
      </c>
      <c r="J64" s="5" t="str">
        <f t="shared" si="5"/>
        <v>Maria Okafor</v>
      </c>
      <c r="K64" s="5" t="s">
        <v>67</v>
      </c>
      <c r="L64" s="5" t="s">
        <v>47</v>
      </c>
      <c r="M64" s="6">
        <v>201172</v>
      </c>
      <c r="N64" s="5">
        <v>8</v>
      </c>
      <c r="O64" s="5" t="s">
        <v>58</v>
      </c>
      <c r="Q64" s="5"/>
      <c r="R64" s="5"/>
      <c r="S64" s="5"/>
      <c r="T64" s="5"/>
      <c r="U64" s="5"/>
      <c r="V64" s="5"/>
      <c r="W64" s="5"/>
      <c r="X64" s="5"/>
      <c r="Y64" t="s">
        <v>84</v>
      </c>
    </row>
    <row r="65" spans="1:25">
      <c r="A65" s="5" t="s">
        <v>133</v>
      </c>
      <c r="B65" s="5" t="s">
        <v>176</v>
      </c>
      <c r="C65" s="5" t="s">
        <v>191</v>
      </c>
      <c r="D65" s="5" t="str">
        <f t="shared" si="3"/>
        <v>tunde.salisu@dame.com</v>
      </c>
      <c r="E65" s="5" t="s">
        <v>45</v>
      </c>
      <c r="F65" s="5">
        <f t="shared" si="4"/>
        <v>12</v>
      </c>
      <c r="G65" s="5" t="str">
        <f>UPPER(Table1[[#This Row],[Department]])</f>
        <v>MARKETING</v>
      </c>
      <c r="H65" s="5" t="str">
        <f>LOWER(Table1[[#This Row],[Department]])</f>
        <v>marketing</v>
      </c>
      <c r="I65" s="5" t="str">
        <f>PROPER(Table1[[#This Row],[Department]])</f>
        <v>Marketing</v>
      </c>
      <c r="J65" s="5" t="str">
        <f t="shared" si="5"/>
        <v>Tunde Salisu</v>
      </c>
      <c r="K65" s="5" t="s">
        <v>54</v>
      </c>
      <c r="L65" s="5" t="s">
        <v>47</v>
      </c>
      <c r="M65" s="6">
        <v>321800</v>
      </c>
      <c r="N65" s="5">
        <v>7</v>
      </c>
      <c r="O65" s="5" t="s">
        <v>43</v>
      </c>
      <c r="Q65" s="5"/>
      <c r="R65" s="5"/>
      <c r="S65" s="5"/>
      <c r="T65" s="5"/>
      <c r="U65" s="5"/>
      <c r="V65" s="5"/>
      <c r="W65" s="5"/>
      <c r="X65" s="5"/>
      <c r="Y65" t="s">
        <v>60</v>
      </c>
    </row>
    <row r="66" spans="1:25">
      <c r="A66" s="5" t="s">
        <v>134</v>
      </c>
      <c r="B66" s="5" t="s">
        <v>175</v>
      </c>
      <c r="C66" s="5" t="s">
        <v>190</v>
      </c>
      <c r="D66" s="5" t="str">
        <f t="shared" ref="D66:D97" si="6">LOWER(_xlfn.TEXTJOIN("",TRUE,B66,".",C66,"@dame.com"))</f>
        <v>ibrahim.musa@dame.com</v>
      </c>
      <c r="E66" s="5" t="s">
        <v>51</v>
      </c>
      <c r="F66" s="5">
        <f t="shared" ref="F66:F101" si="7">LEN(Y66)</f>
        <v>12</v>
      </c>
      <c r="G66" s="5" t="str">
        <f>UPPER(Table1[[#This Row],[Department]])</f>
        <v>SALES</v>
      </c>
      <c r="H66" s="5" t="str">
        <f>LOWER(Table1[[#This Row],[Department]])</f>
        <v>sales</v>
      </c>
      <c r="I66" s="5" t="str">
        <f>PROPER(Table1[[#This Row],[Department]])</f>
        <v>Sales</v>
      </c>
      <c r="J66" s="5" t="str">
        <f t="shared" ref="J66:J101" si="8">TRIM(Y66)</f>
        <v>Ibrahim Musa</v>
      </c>
      <c r="K66" s="5" t="s">
        <v>86</v>
      </c>
      <c r="L66" s="5" t="s">
        <v>47</v>
      </c>
      <c r="M66" s="6">
        <v>478662</v>
      </c>
      <c r="N66" s="5">
        <v>2</v>
      </c>
      <c r="O66" s="5" t="s">
        <v>58</v>
      </c>
      <c r="Q66" s="5"/>
      <c r="R66" s="5"/>
      <c r="S66" s="5"/>
      <c r="T66" s="5"/>
      <c r="U66" s="5"/>
      <c r="V66" s="5"/>
      <c r="W66" s="5"/>
      <c r="X66" s="5"/>
      <c r="Y66" t="s">
        <v>57</v>
      </c>
    </row>
    <row r="67" spans="1:25">
      <c r="A67" s="5" t="s">
        <v>135</v>
      </c>
      <c r="B67" s="5" t="s">
        <v>177</v>
      </c>
      <c r="C67" s="5" t="s">
        <v>192</v>
      </c>
      <c r="D67" s="5" t="str">
        <f t="shared" si="6"/>
        <v>james.obi@dame.com</v>
      </c>
      <c r="E67" s="5" t="s">
        <v>70</v>
      </c>
      <c r="F67" s="5">
        <f t="shared" si="7"/>
        <v>9</v>
      </c>
      <c r="G67" s="5" t="str">
        <f>UPPER(Table1[[#This Row],[Department]])</f>
        <v>HR</v>
      </c>
      <c r="H67" s="5" t="str">
        <f>LOWER(Table1[[#This Row],[Department]])</f>
        <v>hr</v>
      </c>
      <c r="I67" s="5" t="str">
        <f>PROPER(Table1[[#This Row],[Department]])</f>
        <v>Hr</v>
      </c>
      <c r="J67" s="5" t="str">
        <f t="shared" si="8"/>
        <v>James Obi</v>
      </c>
      <c r="K67" s="5" t="s">
        <v>86</v>
      </c>
      <c r="L67" s="5" t="s">
        <v>47</v>
      </c>
      <c r="M67" s="6">
        <v>447144</v>
      </c>
      <c r="N67" s="5">
        <v>10</v>
      </c>
      <c r="O67" s="5" t="s">
        <v>65</v>
      </c>
      <c r="Q67" s="5"/>
      <c r="R67" s="5"/>
      <c r="S67" s="5"/>
      <c r="T67" s="5"/>
      <c r="U67" s="5"/>
      <c r="V67" s="5"/>
      <c r="W67" s="5"/>
      <c r="X67" s="5"/>
      <c r="Y67" t="s">
        <v>63</v>
      </c>
    </row>
    <row r="68" spans="1:25">
      <c r="A68" s="5" t="s">
        <v>136</v>
      </c>
      <c r="B68" s="5" t="s">
        <v>174</v>
      </c>
      <c r="C68" s="5" t="s">
        <v>189</v>
      </c>
      <c r="D68" s="5" t="str">
        <f t="shared" si="6"/>
        <v>faith.udo@dame.com</v>
      </c>
      <c r="E68" s="5" t="s">
        <v>53</v>
      </c>
      <c r="F68" s="5">
        <f t="shared" si="7"/>
        <v>9</v>
      </c>
      <c r="G68" s="5" t="str">
        <f>UPPER(Table1[[#This Row],[Department]])</f>
        <v>FINANCE</v>
      </c>
      <c r="H68" s="5" t="str">
        <f>LOWER(Table1[[#This Row],[Department]])</f>
        <v>finance</v>
      </c>
      <c r="I68" s="5" t="str">
        <f>PROPER(Table1[[#This Row],[Department]])</f>
        <v>Finance</v>
      </c>
      <c r="J68" s="5" t="str">
        <f t="shared" si="8"/>
        <v>Faith Udo</v>
      </c>
      <c r="K68" s="5" t="s">
        <v>75</v>
      </c>
      <c r="L68" s="5" t="s">
        <v>47</v>
      </c>
      <c r="M68" s="6">
        <v>367942</v>
      </c>
      <c r="N68" s="5">
        <v>8</v>
      </c>
      <c r="O68" s="5" t="s">
        <v>43</v>
      </c>
      <c r="Q68" s="5"/>
      <c r="R68" s="5"/>
      <c r="S68" s="5"/>
      <c r="T68" s="5"/>
      <c r="U68" s="5"/>
      <c r="V68" s="5"/>
      <c r="W68" s="5"/>
      <c r="X68" s="5"/>
      <c r="Y68" t="s">
        <v>50</v>
      </c>
    </row>
    <row r="69" spans="1:25">
      <c r="A69" s="5" t="s">
        <v>137</v>
      </c>
      <c r="B69" s="5" t="s">
        <v>181</v>
      </c>
      <c r="C69" s="5" t="s">
        <v>196</v>
      </c>
      <c r="D69" s="5" t="str">
        <f t="shared" si="6"/>
        <v>ngozi.bello@dame.com</v>
      </c>
      <c r="E69" s="5" t="s">
        <v>51</v>
      </c>
      <c r="F69" s="5">
        <f t="shared" si="7"/>
        <v>11</v>
      </c>
      <c r="G69" s="5" t="str">
        <f>UPPER(Table1[[#This Row],[Department]])</f>
        <v>SALES</v>
      </c>
      <c r="H69" s="5" t="str">
        <f>LOWER(Table1[[#This Row],[Department]])</f>
        <v>sales</v>
      </c>
      <c r="I69" s="5" t="str">
        <f>PROPER(Table1[[#This Row],[Department]])</f>
        <v>Sales</v>
      </c>
      <c r="J69" s="5" t="str">
        <f t="shared" si="8"/>
        <v>Ngozi Bello</v>
      </c>
      <c r="K69" s="5" t="s">
        <v>89</v>
      </c>
      <c r="L69" s="5" t="s">
        <v>42</v>
      </c>
      <c r="M69" s="6">
        <v>225459</v>
      </c>
      <c r="N69" s="5">
        <v>2</v>
      </c>
      <c r="O69" s="5" t="s">
        <v>58</v>
      </c>
      <c r="Q69" s="5"/>
      <c r="R69" s="5"/>
      <c r="S69" s="5"/>
      <c r="T69" s="5"/>
      <c r="U69" s="5"/>
      <c r="V69" s="5"/>
      <c r="W69" s="5"/>
      <c r="X69" s="5"/>
      <c r="Y69" t="s">
        <v>93</v>
      </c>
    </row>
    <row r="70" spans="1:25">
      <c r="A70" s="5" t="s">
        <v>138</v>
      </c>
      <c r="B70" s="5" t="s">
        <v>176</v>
      </c>
      <c r="C70" s="5" t="s">
        <v>191</v>
      </c>
      <c r="D70" s="5" t="str">
        <f t="shared" si="6"/>
        <v>tunde.salisu@dame.com</v>
      </c>
      <c r="E70" s="5" t="s">
        <v>40</v>
      </c>
      <c r="F70" s="5">
        <f t="shared" si="7"/>
        <v>12</v>
      </c>
      <c r="G70" s="5" t="str">
        <f>UPPER(Table1[[#This Row],[Department]])</f>
        <v>IT</v>
      </c>
      <c r="H70" s="5" t="str">
        <f>LOWER(Table1[[#This Row],[Department]])</f>
        <v>it</v>
      </c>
      <c r="I70" s="5" t="str">
        <f>PROPER(Table1[[#This Row],[Department]])</f>
        <v>It</v>
      </c>
      <c r="J70" s="5" t="str">
        <f t="shared" si="8"/>
        <v>Tunde Salisu</v>
      </c>
      <c r="K70" s="5" t="s">
        <v>86</v>
      </c>
      <c r="L70" s="5" t="s">
        <v>42</v>
      </c>
      <c r="M70" s="6">
        <v>334185</v>
      </c>
      <c r="N70" s="5">
        <v>2</v>
      </c>
      <c r="O70" s="5" t="s">
        <v>43</v>
      </c>
      <c r="Q70" s="5"/>
      <c r="R70" s="5"/>
      <c r="S70" s="5"/>
      <c r="T70" s="5"/>
      <c r="U70" s="5"/>
      <c r="V70" s="5"/>
      <c r="W70" s="5"/>
      <c r="X70" s="5"/>
      <c r="Y70" t="s">
        <v>60</v>
      </c>
    </row>
    <row r="71" spans="1:25">
      <c r="A71" s="5" t="s">
        <v>139</v>
      </c>
      <c r="B71" s="5" t="s">
        <v>179</v>
      </c>
      <c r="C71" s="5" t="s">
        <v>194</v>
      </c>
      <c r="D71" s="5" t="str">
        <f t="shared" si="6"/>
        <v>chika.umeh@dame.com</v>
      </c>
      <c r="E71" s="5" t="s">
        <v>40</v>
      </c>
      <c r="F71" s="5">
        <f t="shared" si="7"/>
        <v>10</v>
      </c>
      <c r="G71" s="5" t="str">
        <f>UPPER(Table1[[#This Row],[Department]])</f>
        <v>IT</v>
      </c>
      <c r="H71" s="5" t="str">
        <f>LOWER(Table1[[#This Row],[Department]])</f>
        <v>it</v>
      </c>
      <c r="I71" s="5" t="str">
        <f>PROPER(Table1[[#This Row],[Department]])</f>
        <v>It</v>
      </c>
      <c r="J71" s="5" t="str">
        <f t="shared" si="8"/>
        <v>Chika Umeh</v>
      </c>
      <c r="K71" s="5" t="s">
        <v>89</v>
      </c>
      <c r="L71" s="5" t="s">
        <v>47</v>
      </c>
      <c r="M71" s="6">
        <v>329104</v>
      </c>
      <c r="N71" s="5">
        <v>2</v>
      </c>
      <c r="O71" s="5" t="s">
        <v>55</v>
      </c>
      <c r="Q71" s="5"/>
      <c r="R71" s="5"/>
      <c r="S71" s="5"/>
      <c r="T71" s="5"/>
      <c r="U71" s="5"/>
      <c r="V71" s="5"/>
      <c r="W71" s="5"/>
      <c r="X71" s="5"/>
      <c r="Y71" t="s">
        <v>74</v>
      </c>
    </row>
    <row r="72" spans="1:25">
      <c r="A72" s="5" t="s">
        <v>140</v>
      </c>
      <c r="B72" s="5" t="s">
        <v>175</v>
      </c>
      <c r="C72" s="5" t="s">
        <v>190</v>
      </c>
      <c r="D72" s="5" t="str">
        <f t="shared" si="6"/>
        <v>ibrahim.musa@dame.com</v>
      </c>
      <c r="E72" s="5" t="s">
        <v>40</v>
      </c>
      <c r="F72" s="5">
        <f t="shared" si="7"/>
        <v>12</v>
      </c>
      <c r="G72" s="5" t="str">
        <f>UPPER(Table1[[#This Row],[Department]])</f>
        <v>IT</v>
      </c>
      <c r="H72" s="5" t="str">
        <f>LOWER(Table1[[#This Row],[Department]])</f>
        <v>it</v>
      </c>
      <c r="I72" s="5" t="str">
        <f>PROPER(Table1[[#This Row],[Department]])</f>
        <v>It</v>
      </c>
      <c r="J72" s="5" t="str">
        <f t="shared" si="8"/>
        <v>Ibrahim Musa</v>
      </c>
      <c r="K72" s="5" t="s">
        <v>41</v>
      </c>
      <c r="L72" s="5" t="s">
        <v>47</v>
      </c>
      <c r="M72" s="6">
        <v>253559</v>
      </c>
      <c r="N72" s="5">
        <v>4</v>
      </c>
      <c r="O72" s="5" t="s">
        <v>65</v>
      </c>
      <c r="Q72" s="5"/>
      <c r="R72" s="5"/>
      <c r="S72" s="5"/>
      <c r="T72" s="5"/>
      <c r="U72" s="5"/>
      <c r="V72" s="5"/>
      <c r="W72" s="5"/>
      <c r="X72" s="5"/>
      <c r="Y72" t="s">
        <v>57</v>
      </c>
    </row>
    <row r="73" spans="1:25">
      <c r="A73" s="5" t="s">
        <v>141</v>
      </c>
      <c r="B73" s="5" t="s">
        <v>175</v>
      </c>
      <c r="C73" s="5" t="s">
        <v>190</v>
      </c>
      <c r="D73" s="5" t="str">
        <f t="shared" si="6"/>
        <v>ibrahim.musa@dame.com</v>
      </c>
      <c r="E73" s="5" t="s">
        <v>45</v>
      </c>
      <c r="F73" s="5">
        <f t="shared" si="7"/>
        <v>12</v>
      </c>
      <c r="G73" s="5" t="str">
        <f>UPPER(Table1[[#This Row],[Department]])</f>
        <v>MARKETING</v>
      </c>
      <c r="H73" s="5" t="str">
        <f>LOWER(Table1[[#This Row],[Department]])</f>
        <v>marketing</v>
      </c>
      <c r="I73" s="5" t="str">
        <f>PROPER(Table1[[#This Row],[Department]])</f>
        <v>Marketing</v>
      </c>
      <c r="J73" s="5" t="str">
        <f t="shared" si="8"/>
        <v>Ibrahim Musa</v>
      </c>
      <c r="K73" s="5" t="s">
        <v>41</v>
      </c>
      <c r="L73" s="5" t="s">
        <v>42</v>
      </c>
      <c r="M73" s="6">
        <v>203632</v>
      </c>
      <c r="N73" s="5">
        <v>4</v>
      </c>
      <c r="O73" s="5" t="s">
        <v>48</v>
      </c>
      <c r="Q73" s="5"/>
      <c r="R73" s="5"/>
      <c r="S73" s="5"/>
      <c r="T73" s="5"/>
      <c r="U73" s="5"/>
      <c r="V73" s="5"/>
      <c r="W73" s="5"/>
      <c r="X73" s="5"/>
      <c r="Y73" t="s">
        <v>57</v>
      </c>
    </row>
    <row r="74" spans="1:25">
      <c r="A74" s="5" t="s">
        <v>142</v>
      </c>
      <c r="B74" s="5" t="s">
        <v>173</v>
      </c>
      <c r="C74" s="5" t="s">
        <v>188</v>
      </c>
      <c r="D74" s="5" t="str">
        <f t="shared" si="6"/>
        <v>sade.bassey@dame.com</v>
      </c>
      <c r="E74" s="5" t="s">
        <v>40</v>
      </c>
      <c r="F74" s="5">
        <f t="shared" si="7"/>
        <v>11</v>
      </c>
      <c r="G74" s="5" t="str">
        <f>UPPER(Table1[[#This Row],[Department]])</f>
        <v>IT</v>
      </c>
      <c r="H74" s="5" t="str">
        <f>LOWER(Table1[[#This Row],[Department]])</f>
        <v>it</v>
      </c>
      <c r="I74" s="5" t="str">
        <f>PROPER(Table1[[#This Row],[Department]])</f>
        <v>It</v>
      </c>
      <c r="J74" s="5" t="str">
        <f t="shared" si="8"/>
        <v>Sade Bassey</v>
      </c>
      <c r="K74" s="5" t="s">
        <v>72</v>
      </c>
      <c r="L74" s="5" t="s">
        <v>47</v>
      </c>
      <c r="M74" s="6">
        <v>404012</v>
      </c>
      <c r="N74" s="5">
        <v>7</v>
      </c>
      <c r="O74" s="5" t="s">
        <v>58</v>
      </c>
      <c r="Q74" s="5"/>
      <c r="R74" s="5"/>
      <c r="S74" s="5"/>
      <c r="T74" s="5"/>
      <c r="U74" s="5"/>
      <c r="V74" s="5"/>
      <c r="W74" s="5"/>
      <c r="X74" s="5"/>
      <c r="Y74" t="s">
        <v>39</v>
      </c>
    </row>
    <row r="75" spans="1:25">
      <c r="A75" s="5" t="s">
        <v>143</v>
      </c>
      <c r="B75" s="5" t="s">
        <v>180</v>
      </c>
      <c r="C75" s="5" t="s">
        <v>195</v>
      </c>
      <c r="D75" s="5" t="str">
        <f t="shared" si="6"/>
        <v>maria.okafor@dame.com</v>
      </c>
      <c r="E75" s="5" t="s">
        <v>40</v>
      </c>
      <c r="F75" s="5">
        <f t="shared" si="7"/>
        <v>12</v>
      </c>
      <c r="G75" s="5" t="str">
        <f>UPPER(Table1[[#This Row],[Department]])</f>
        <v>IT</v>
      </c>
      <c r="H75" s="5" t="str">
        <f>LOWER(Table1[[#This Row],[Department]])</f>
        <v>it</v>
      </c>
      <c r="I75" s="5" t="str">
        <f>PROPER(Table1[[#This Row],[Department]])</f>
        <v>It</v>
      </c>
      <c r="J75" s="5" t="str">
        <f t="shared" si="8"/>
        <v>Maria Okafor</v>
      </c>
      <c r="K75" s="5" t="s">
        <v>89</v>
      </c>
      <c r="L75" s="5" t="s">
        <v>42</v>
      </c>
      <c r="M75" s="6">
        <v>493395</v>
      </c>
      <c r="N75" s="5">
        <v>4</v>
      </c>
      <c r="O75" s="5" t="s">
        <v>43</v>
      </c>
      <c r="Q75" s="5"/>
      <c r="R75" s="5"/>
      <c r="S75" s="5"/>
      <c r="T75" s="5"/>
      <c r="U75" s="5"/>
      <c r="V75" s="5"/>
      <c r="W75" s="5"/>
      <c r="X75" s="5"/>
      <c r="Y75" t="s">
        <v>84</v>
      </c>
    </row>
    <row r="76" spans="1:25">
      <c r="A76" s="5" t="s">
        <v>144</v>
      </c>
      <c r="B76" s="5" t="s">
        <v>175</v>
      </c>
      <c r="C76" s="5" t="s">
        <v>190</v>
      </c>
      <c r="D76" s="5" t="str">
        <f t="shared" si="6"/>
        <v>ibrahim.musa@dame.com</v>
      </c>
      <c r="E76" s="5" t="s">
        <v>51</v>
      </c>
      <c r="F76" s="5">
        <f t="shared" si="7"/>
        <v>12</v>
      </c>
      <c r="G76" s="5" t="str">
        <f>UPPER(Table1[[#This Row],[Department]])</f>
        <v>SALES</v>
      </c>
      <c r="H76" s="5" t="str">
        <f>LOWER(Table1[[#This Row],[Department]])</f>
        <v>sales</v>
      </c>
      <c r="I76" s="5" t="str">
        <f>PROPER(Table1[[#This Row],[Department]])</f>
        <v>Sales</v>
      </c>
      <c r="J76" s="5" t="str">
        <f t="shared" si="8"/>
        <v>Ibrahim Musa</v>
      </c>
      <c r="K76" s="5" t="s">
        <v>72</v>
      </c>
      <c r="L76" s="5" t="s">
        <v>42</v>
      </c>
      <c r="M76" s="6">
        <v>372679</v>
      </c>
      <c r="N76" s="5">
        <v>2</v>
      </c>
      <c r="O76" s="5" t="s">
        <v>43</v>
      </c>
      <c r="Q76" s="5"/>
      <c r="R76" s="5"/>
      <c r="S76" s="5"/>
      <c r="T76" s="5"/>
      <c r="U76" s="5"/>
      <c r="V76" s="5"/>
      <c r="W76" s="5"/>
      <c r="X76" s="5"/>
      <c r="Y76" t="s">
        <v>57</v>
      </c>
    </row>
    <row r="77" spans="1:25">
      <c r="A77" s="5" t="s">
        <v>145</v>
      </c>
      <c r="B77" s="5" t="s">
        <v>174</v>
      </c>
      <c r="C77" s="5" t="s">
        <v>189</v>
      </c>
      <c r="D77" s="5" t="str">
        <f t="shared" si="6"/>
        <v>faith.udo@dame.com</v>
      </c>
      <c r="E77" s="5" t="s">
        <v>70</v>
      </c>
      <c r="F77" s="5">
        <f t="shared" si="7"/>
        <v>9</v>
      </c>
      <c r="G77" s="5" t="str">
        <f>UPPER(Table1[[#This Row],[Department]])</f>
        <v>HR</v>
      </c>
      <c r="H77" s="5" t="str">
        <f>LOWER(Table1[[#This Row],[Department]])</f>
        <v>hr</v>
      </c>
      <c r="I77" s="5" t="str">
        <f>PROPER(Table1[[#This Row],[Department]])</f>
        <v>Hr</v>
      </c>
      <c r="J77" s="5" t="str">
        <f t="shared" si="8"/>
        <v>Faith Udo</v>
      </c>
      <c r="K77" s="5" t="s">
        <v>46</v>
      </c>
      <c r="L77" s="5" t="s">
        <v>47</v>
      </c>
      <c r="M77" s="6">
        <v>464770</v>
      </c>
      <c r="N77" s="5">
        <v>9</v>
      </c>
      <c r="O77" s="5" t="s">
        <v>43</v>
      </c>
      <c r="Q77" s="5"/>
      <c r="R77" s="5"/>
      <c r="S77" s="5"/>
      <c r="T77" s="5"/>
      <c r="U77" s="5"/>
      <c r="V77" s="5"/>
      <c r="W77" s="5"/>
      <c r="X77" s="5"/>
      <c r="Y77" t="s">
        <v>50</v>
      </c>
    </row>
    <row r="78" spans="1:25">
      <c r="A78" s="5" t="s">
        <v>146</v>
      </c>
      <c r="B78" s="5" t="s">
        <v>180</v>
      </c>
      <c r="C78" s="5" t="s">
        <v>195</v>
      </c>
      <c r="D78" s="5" t="str">
        <f t="shared" si="6"/>
        <v>maria.okafor@dame.com</v>
      </c>
      <c r="E78" s="5" t="s">
        <v>51</v>
      </c>
      <c r="F78" s="5">
        <f t="shared" si="7"/>
        <v>12</v>
      </c>
      <c r="G78" s="5" t="str">
        <f>UPPER(Table1[[#This Row],[Department]])</f>
        <v>SALES</v>
      </c>
      <c r="H78" s="5" t="str">
        <f>LOWER(Table1[[#This Row],[Department]])</f>
        <v>sales</v>
      </c>
      <c r="I78" s="5" t="str">
        <f>PROPER(Table1[[#This Row],[Department]])</f>
        <v>Sales</v>
      </c>
      <c r="J78" s="5" t="str">
        <f t="shared" si="8"/>
        <v>Maria Okafor</v>
      </c>
      <c r="K78" s="5" t="s">
        <v>86</v>
      </c>
      <c r="L78" s="5" t="s">
        <v>47</v>
      </c>
      <c r="M78" s="6">
        <v>360225</v>
      </c>
      <c r="N78" s="5">
        <v>3</v>
      </c>
      <c r="O78" s="5" t="s">
        <v>48</v>
      </c>
      <c r="Q78" s="5"/>
      <c r="R78" s="5"/>
      <c r="S78" s="5"/>
      <c r="T78" s="5"/>
      <c r="U78" s="5"/>
      <c r="V78" s="5"/>
      <c r="W78" s="5"/>
      <c r="X78" s="5"/>
      <c r="Y78" t="s">
        <v>84</v>
      </c>
    </row>
    <row r="79" spans="1:25">
      <c r="A79" s="5" t="s">
        <v>147</v>
      </c>
      <c r="B79" s="5" t="s">
        <v>175</v>
      </c>
      <c r="C79" s="5" t="s">
        <v>190</v>
      </c>
      <c r="D79" s="5" t="str">
        <f t="shared" si="6"/>
        <v>ibrahim.musa@dame.com</v>
      </c>
      <c r="E79" s="5" t="s">
        <v>40</v>
      </c>
      <c r="F79" s="5">
        <f t="shared" si="7"/>
        <v>12</v>
      </c>
      <c r="G79" s="5" t="str">
        <f>UPPER(Table1[[#This Row],[Department]])</f>
        <v>IT</v>
      </c>
      <c r="H79" s="5" t="str">
        <f>LOWER(Table1[[#This Row],[Department]])</f>
        <v>it</v>
      </c>
      <c r="I79" s="5" t="str">
        <f>PROPER(Table1[[#This Row],[Department]])</f>
        <v>It</v>
      </c>
      <c r="J79" s="5" t="str">
        <f t="shared" si="8"/>
        <v>Ibrahim Musa</v>
      </c>
      <c r="K79" s="5" t="s">
        <v>75</v>
      </c>
      <c r="L79" s="5" t="s">
        <v>42</v>
      </c>
      <c r="M79" s="6">
        <v>422249</v>
      </c>
      <c r="N79" s="5">
        <v>10</v>
      </c>
      <c r="O79" s="5" t="s">
        <v>65</v>
      </c>
      <c r="Q79" s="5"/>
      <c r="R79" s="5"/>
      <c r="S79" s="5"/>
      <c r="T79" s="5"/>
      <c r="U79" s="5"/>
      <c r="V79" s="5"/>
      <c r="W79" s="5"/>
      <c r="X79" s="5"/>
      <c r="Y79" t="s">
        <v>57</v>
      </c>
    </row>
    <row r="80" spans="1:25">
      <c r="A80" s="5" t="s">
        <v>148</v>
      </c>
      <c r="B80" s="5" t="s">
        <v>176</v>
      </c>
      <c r="C80" s="5" t="s">
        <v>191</v>
      </c>
      <c r="D80" s="5" t="str">
        <f t="shared" si="6"/>
        <v>tunde.salisu@dame.com</v>
      </c>
      <c r="E80" s="5" t="s">
        <v>51</v>
      </c>
      <c r="F80" s="5">
        <f t="shared" si="7"/>
        <v>12</v>
      </c>
      <c r="G80" s="5" t="str">
        <f>UPPER(Table1[[#This Row],[Department]])</f>
        <v>SALES</v>
      </c>
      <c r="H80" s="5" t="str">
        <f>LOWER(Table1[[#This Row],[Department]])</f>
        <v>sales</v>
      </c>
      <c r="I80" s="5" t="str">
        <f>PROPER(Table1[[#This Row],[Department]])</f>
        <v>Sales</v>
      </c>
      <c r="J80" s="5" t="str">
        <f t="shared" si="8"/>
        <v>Tunde Salisu</v>
      </c>
      <c r="K80" s="5" t="s">
        <v>89</v>
      </c>
      <c r="L80" s="5" t="s">
        <v>47</v>
      </c>
      <c r="M80" s="6">
        <v>343548</v>
      </c>
      <c r="N80" s="5">
        <v>7</v>
      </c>
      <c r="O80" s="5" t="s">
        <v>58</v>
      </c>
      <c r="Q80" s="5"/>
      <c r="R80" s="5"/>
      <c r="S80" s="5"/>
      <c r="T80" s="5"/>
      <c r="U80" s="5"/>
      <c r="V80" s="5"/>
      <c r="W80" s="5"/>
      <c r="X80" s="5"/>
      <c r="Y80" t="s">
        <v>60</v>
      </c>
    </row>
    <row r="81" spans="1:25">
      <c r="A81" s="5" t="s">
        <v>149</v>
      </c>
      <c r="B81" s="5" t="s">
        <v>179</v>
      </c>
      <c r="C81" s="5" t="s">
        <v>194</v>
      </c>
      <c r="D81" s="5" t="str">
        <f t="shared" si="6"/>
        <v>chika.umeh@dame.com</v>
      </c>
      <c r="E81" s="5" t="s">
        <v>45</v>
      </c>
      <c r="F81" s="5">
        <f t="shared" si="7"/>
        <v>10</v>
      </c>
      <c r="G81" s="5" t="str">
        <f>UPPER(Table1[[#This Row],[Department]])</f>
        <v>MARKETING</v>
      </c>
      <c r="H81" s="5" t="str">
        <f>LOWER(Table1[[#This Row],[Department]])</f>
        <v>marketing</v>
      </c>
      <c r="I81" s="5" t="str">
        <f>PROPER(Table1[[#This Row],[Department]])</f>
        <v>Marketing</v>
      </c>
      <c r="J81" s="5" t="str">
        <f t="shared" si="8"/>
        <v>Chika Umeh</v>
      </c>
      <c r="K81" s="5" t="s">
        <v>46</v>
      </c>
      <c r="L81" s="5" t="s">
        <v>42</v>
      </c>
      <c r="M81" s="6">
        <v>429470</v>
      </c>
      <c r="N81" s="5">
        <v>3</v>
      </c>
      <c r="O81" s="5" t="s">
        <v>43</v>
      </c>
      <c r="Q81" s="5"/>
      <c r="R81" s="5"/>
      <c r="S81" s="5"/>
      <c r="T81" s="5"/>
      <c r="U81" s="5"/>
      <c r="V81" s="5"/>
      <c r="W81" s="5"/>
      <c r="X81" s="5"/>
      <c r="Y81" t="s">
        <v>74</v>
      </c>
    </row>
    <row r="82" spans="1:25">
      <c r="A82" s="5" t="s">
        <v>150</v>
      </c>
      <c r="B82" s="5" t="s">
        <v>180</v>
      </c>
      <c r="C82" s="5" t="s">
        <v>195</v>
      </c>
      <c r="D82" s="5" t="str">
        <f t="shared" si="6"/>
        <v>maria.okafor@dame.com</v>
      </c>
      <c r="E82" s="5" t="s">
        <v>70</v>
      </c>
      <c r="F82" s="5">
        <f t="shared" si="7"/>
        <v>12</v>
      </c>
      <c r="G82" s="5" t="str">
        <f>UPPER(Table1[[#This Row],[Department]])</f>
        <v>HR</v>
      </c>
      <c r="H82" s="5" t="str">
        <f>LOWER(Table1[[#This Row],[Department]])</f>
        <v>hr</v>
      </c>
      <c r="I82" s="5" t="str">
        <f>PROPER(Table1[[#This Row],[Department]])</f>
        <v>Hr</v>
      </c>
      <c r="J82" s="5" t="str">
        <f t="shared" si="8"/>
        <v>Maria Okafor</v>
      </c>
      <c r="K82" s="5" t="s">
        <v>61</v>
      </c>
      <c r="L82" s="5" t="s">
        <v>47</v>
      </c>
      <c r="M82" s="6">
        <v>228264</v>
      </c>
      <c r="N82" s="5">
        <v>5</v>
      </c>
      <c r="O82" s="5" t="s">
        <v>58</v>
      </c>
      <c r="Q82" s="5"/>
      <c r="R82" s="5"/>
      <c r="S82" s="5"/>
      <c r="T82" s="5"/>
      <c r="U82" s="5"/>
      <c r="V82" s="5"/>
      <c r="W82" s="5"/>
      <c r="X82" s="5"/>
      <c r="Y82" t="s">
        <v>84</v>
      </c>
    </row>
    <row r="83" spans="1:25">
      <c r="A83" s="5" t="s">
        <v>151</v>
      </c>
      <c r="B83" s="5" t="s">
        <v>177</v>
      </c>
      <c r="C83" s="5" t="s">
        <v>192</v>
      </c>
      <c r="D83" s="5" t="str">
        <f t="shared" si="6"/>
        <v>james.obi@dame.com</v>
      </c>
      <c r="E83" s="5" t="s">
        <v>51</v>
      </c>
      <c r="F83" s="5">
        <f t="shared" si="7"/>
        <v>9</v>
      </c>
      <c r="G83" s="5" t="str">
        <f>UPPER(Table1[[#This Row],[Department]])</f>
        <v>SALES</v>
      </c>
      <c r="H83" s="5" t="str">
        <f>LOWER(Table1[[#This Row],[Department]])</f>
        <v>sales</v>
      </c>
      <c r="I83" s="5" t="str">
        <f>PROPER(Table1[[#This Row],[Department]])</f>
        <v>Sales</v>
      </c>
      <c r="J83" s="5" t="str">
        <f t="shared" si="8"/>
        <v>James Obi</v>
      </c>
      <c r="K83" s="5" t="s">
        <v>54</v>
      </c>
      <c r="L83" s="5" t="s">
        <v>42</v>
      </c>
      <c r="M83" s="6">
        <v>481733</v>
      </c>
      <c r="N83" s="5">
        <v>7</v>
      </c>
      <c r="O83" s="5" t="s">
        <v>48</v>
      </c>
      <c r="Q83" s="5"/>
      <c r="R83" s="5"/>
      <c r="S83" s="5"/>
      <c r="T83" s="5"/>
      <c r="U83" s="5"/>
      <c r="V83" s="5"/>
      <c r="W83" s="5"/>
      <c r="X83" s="5"/>
      <c r="Y83" t="s">
        <v>63</v>
      </c>
    </row>
    <row r="84" spans="1:25">
      <c r="A84" s="5" t="s">
        <v>152</v>
      </c>
      <c r="B84" s="5" t="s">
        <v>177</v>
      </c>
      <c r="C84" s="5" t="s">
        <v>192</v>
      </c>
      <c r="D84" s="5" t="str">
        <f t="shared" si="6"/>
        <v>james.obi@dame.com</v>
      </c>
      <c r="E84" s="5" t="s">
        <v>40</v>
      </c>
      <c r="F84" s="5">
        <f t="shared" si="7"/>
        <v>9</v>
      </c>
      <c r="G84" s="5" t="str">
        <f>UPPER(Table1[[#This Row],[Department]])</f>
        <v>IT</v>
      </c>
      <c r="H84" s="5" t="str">
        <f>LOWER(Table1[[#This Row],[Department]])</f>
        <v>it</v>
      </c>
      <c r="I84" s="5" t="str">
        <f>PROPER(Table1[[#This Row],[Department]])</f>
        <v>It</v>
      </c>
      <c r="J84" s="5" t="str">
        <f t="shared" si="8"/>
        <v>James Obi</v>
      </c>
      <c r="K84" s="5" t="s">
        <v>41</v>
      </c>
      <c r="L84" s="5" t="s">
        <v>42</v>
      </c>
      <c r="M84" s="6">
        <v>253954</v>
      </c>
      <c r="N84" s="5">
        <v>2</v>
      </c>
      <c r="O84" s="5" t="s">
        <v>48</v>
      </c>
      <c r="Q84" s="5"/>
      <c r="R84" s="5"/>
      <c r="S84" s="5"/>
      <c r="T84" s="5"/>
      <c r="U84" s="5"/>
      <c r="V84" s="5"/>
      <c r="W84" s="5"/>
      <c r="X84" s="5"/>
      <c r="Y84" t="s">
        <v>63</v>
      </c>
    </row>
    <row r="85" spans="1:25">
      <c r="A85" s="5" t="s">
        <v>153</v>
      </c>
      <c r="B85" s="5" t="s">
        <v>177</v>
      </c>
      <c r="C85" s="5" t="s">
        <v>192</v>
      </c>
      <c r="D85" s="5" t="str">
        <f t="shared" si="6"/>
        <v>james.obi@dame.com</v>
      </c>
      <c r="E85" s="5" t="s">
        <v>40</v>
      </c>
      <c r="F85" s="5">
        <f t="shared" si="7"/>
        <v>9</v>
      </c>
      <c r="G85" s="5" t="str">
        <f>UPPER(Table1[[#This Row],[Department]])</f>
        <v>IT</v>
      </c>
      <c r="H85" s="5" t="str">
        <f>LOWER(Table1[[#This Row],[Department]])</f>
        <v>it</v>
      </c>
      <c r="I85" s="5" t="str">
        <f>PROPER(Table1[[#This Row],[Department]])</f>
        <v>It</v>
      </c>
      <c r="J85" s="5" t="str">
        <f t="shared" si="8"/>
        <v>James Obi</v>
      </c>
      <c r="K85" s="5" t="s">
        <v>75</v>
      </c>
      <c r="L85" s="5" t="s">
        <v>42</v>
      </c>
      <c r="M85" s="6">
        <v>338029</v>
      </c>
      <c r="N85" s="5">
        <v>6</v>
      </c>
      <c r="O85" s="5" t="s">
        <v>65</v>
      </c>
      <c r="Q85" s="5"/>
      <c r="R85" s="5"/>
      <c r="S85" s="5"/>
      <c r="T85" s="5"/>
      <c r="U85" s="5"/>
      <c r="V85" s="5"/>
      <c r="W85" s="5"/>
      <c r="X85" s="5"/>
      <c r="Y85" t="s">
        <v>63</v>
      </c>
    </row>
    <row r="86" spans="1:25">
      <c r="A86" s="5" t="s">
        <v>154</v>
      </c>
      <c r="B86" s="5" t="s">
        <v>181</v>
      </c>
      <c r="C86" s="5" t="s">
        <v>196</v>
      </c>
      <c r="D86" s="5" t="str">
        <f t="shared" si="6"/>
        <v>ngozi.bello@dame.com</v>
      </c>
      <c r="E86" s="5" t="s">
        <v>53</v>
      </c>
      <c r="F86" s="5">
        <f t="shared" si="7"/>
        <v>11</v>
      </c>
      <c r="G86" s="5" t="str">
        <f>UPPER(Table1[[#This Row],[Department]])</f>
        <v>FINANCE</v>
      </c>
      <c r="H86" s="5" t="str">
        <f>LOWER(Table1[[#This Row],[Department]])</f>
        <v>finance</v>
      </c>
      <c r="I86" s="5" t="str">
        <f>PROPER(Table1[[#This Row],[Department]])</f>
        <v>Finance</v>
      </c>
      <c r="J86" s="5" t="str">
        <f t="shared" si="8"/>
        <v>Ngozi Bello</v>
      </c>
      <c r="K86" s="5" t="s">
        <v>86</v>
      </c>
      <c r="L86" s="5" t="s">
        <v>42</v>
      </c>
      <c r="M86" s="6">
        <v>340723</v>
      </c>
      <c r="N86" s="5">
        <v>7</v>
      </c>
      <c r="O86" s="5" t="s">
        <v>43</v>
      </c>
      <c r="Q86" s="5"/>
      <c r="R86" s="5"/>
      <c r="S86" s="5"/>
      <c r="T86" s="5"/>
      <c r="U86" s="5"/>
      <c r="V86" s="5"/>
      <c r="W86" s="5"/>
      <c r="X86" s="5"/>
      <c r="Y86" t="s">
        <v>93</v>
      </c>
    </row>
    <row r="87" spans="1:25">
      <c r="A87" s="5" t="s">
        <v>155</v>
      </c>
      <c r="B87" s="5" t="s">
        <v>174</v>
      </c>
      <c r="C87" s="5" t="s">
        <v>189</v>
      </c>
      <c r="D87" s="5" t="str">
        <f t="shared" si="6"/>
        <v>faith.udo@dame.com</v>
      </c>
      <c r="E87" s="5" t="s">
        <v>45</v>
      </c>
      <c r="F87" s="5">
        <f t="shared" si="7"/>
        <v>9</v>
      </c>
      <c r="G87" s="5" t="str">
        <f>UPPER(Table1[[#This Row],[Department]])</f>
        <v>MARKETING</v>
      </c>
      <c r="H87" s="5" t="str">
        <f>LOWER(Table1[[#This Row],[Department]])</f>
        <v>marketing</v>
      </c>
      <c r="I87" s="5" t="str">
        <f>PROPER(Table1[[#This Row],[Department]])</f>
        <v>Marketing</v>
      </c>
      <c r="J87" s="5" t="str">
        <f t="shared" si="8"/>
        <v>Faith Udo</v>
      </c>
      <c r="K87" s="5" t="s">
        <v>41</v>
      </c>
      <c r="L87" s="5" t="s">
        <v>42</v>
      </c>
      <c r="M87" s="6">
        <v>216138</v>
      </c>
      <c r="N87" s="5">
        <v>2</v>
      </c>
      <c r="O87" s="5" t="s">
        <v>43</v>
      </c>
      <c r="Q87" s="5"/>
      <c r="R87" s="5"/>
      <c r="S87" s="5"/>
      <c r="T87" s="5"/>
      <c r="U87" s="5"/>
      <c r="V87" s="5"/>
      <c r="W87" s="5"/>
      <c r="X87" s="5"/>
      <c r="Y87" t="s">
        <v>50</v>
      </c>
    </row>
    <row r="88" spans="1:25">
      <c r="A88" s="5" t="s">
        <v>156</v>
      </c>
      <c r="B88" s="5" t="s">
        <v>179</v>
      </c>
      <c r="C88" s="5" t="s">
        <v>194</v>
      </c>
      <c r="D88" s="5" t="str">
        <f t="shared" si="6"/>
        <v>chika.umeh@dame.com</v>
      </c>
      <c r="E88" s="5" t="s">
        <v>40</v>
      </c>
      <c r="F88" s="5">
        <f t="shared" si="7"/>
        <v>10</v>
      </c>
      <c r="G88" s="5" t="str">
        <f>UPPER(Table1[[#This Row],[Department]])</f>
        <v>IT</v>
      </c>
      <c r="H88" s="5" t="str">
        <f>LOWER(Table1[[#This Row],[Department]])</f>
        <v>it</v>
      </c>
      <c r="I88" s="5" t="str">
        <f>PROPER(Table1[[#This Row],[Department]])</f>
        <v>It</v>
      </c>
      <c r="J88" s="5" t="str">
        <f t="shared" si="8"/>
        <v>Chika Umeh</v>
      </c>
      <c r="K88" s="5" t="s">
        <v>72</v>
      </c>
      <c r="L88" s="5" t="s">
        <v>47</v>
      </c>
      <c r="M88" s="6">
        <v>490025</v>
      </c>
      <c r="N88" s="5">
        <v>8</v>
      </c>
      <c r="O88" s="5" t="s">
        <v>48</v>
      </c>
      <c r="Q88" s="5"/>
      <c r="R88" s="5"/>
      <c r="S88" s="5"/>
      <c r="T88" s="5"/>
      <c r="U88" s="5"/>
      <c r="V88" s="5"/>
      <c r="W88" s="5"/>
      <c r="X88" s="5"/>
      <c r="Y88" t="s">
        <v>74</v>
      </c>
    </row>
    <row r="89" spans="1:25">
      <c r="A89" s="5" t="s">
        <v>157</v>
      </c>
      <c r="B89" s="5" t="s">
        <v>179</v>
      </c>
      <c r="C89" s="5" t="s">
        <v>194</v>
      </c>
      <c r="D89" s="5" t="str">
        <f t="shared" si="6"/>
        <v>chika.umeh@dame.com</v>
      </c>
      <c r="E89" s="5" t="s">
        <v>45</v>
      </c>
      <c r="F89" s="5">
        <f t="shared" si="7"/>
        <v>10</v>
      </c>
      <c r="G89" s="5" t="str">
        <f>UPPER(Table1[[#This Row],[Department]])</f>
        <v>MARKETING</v>
      </c>
      <c r="H89" s="5" t="str">
        <f>LOWER(Table1[[#This Row],[Department]])</f>
        <v>marketing</v>
      </c>
      <c r="I89" s="5" t="str">
        <f>PROPER(Table1[[#This Row],[Department]])</f>
        <v>Marketing</v>
      </c>
      <c r="J89" s="5" t="str">
        <f t="shared" si="8"/>
        <v>Chika Umeh</v>
      </c>
      <c r="K89" s="5" t="s">
        <v>67</v>
      </c>
      <c r="L89" s="5" t="s">
        <v>42</v>
      </c>
      <c r="M89" s="6">
        <v>339580</v>
      </c>
      <c r="N89" s="5">
        <v>2</v>
      </c>
      <c r="O89" s="5" t="s">
        <v>55</v>
      </c>
      <c r="Q89" s="5"/>
      <c r="R89" s="5"/>
      <c r="S89" s="5"/>
      <c r="T89" s="5"/>
      <c r="U89" s="5"/>
      <c r="V89" s="5"/>
      <c r="W89" s="5"/>
      <c r="X89" s="5"/>
      <c r="Y89" t="s">
        <v>74</v>
      </c>
    </row>
    <row r="90" spans="1:25">
      <c r="A90" s="5" t="s">
        <v>158</v>
      </c>
      <c r="B90" s="5" t="s">
        <v>175</v>
      </c>
      <c r="C90" s="5" t="s">
        <v>190</v>
      </c>
      <c r="D90" s="5" t="str">
        <f t="shared" si="6"/>
        <v>ibrahim.musa@dame.com</v>
      </c>
      <c r="E90" s="5" t="s">
        <v>70</v>
      </c>
      <c r="F90" s="5">
        <f t="shared" si="7"/>
        <v>12</v>
      </c>
      <c r="G90" s="5" t="str">
        <f>UPPER(Table1[[#This Row],[Department]])</f>
        <v>HR</v>
      </c>
      <c r="H90" s="5" t="str">
        <f>LOWER(Table1[[#This Row],[Department]])</f>
        <v>hr</v>
      </c>
      <c r="I90" s="5" t="str">
        <f>PROPER(Table1[[#This Row],[Department]])</f>
        <v>Hr</v>
      </c>
      <c r="J90" s="5" t="str">
        <f t="shared" si="8"/>
        <v>Ibrahim Musa</v>
      </c>
      <c r="K90" s="5" t="s">
        <v>75</v>
      </c>
      <c r="L90" s="5" t="s">
        <v>47</v>
      </c>
      <c r="M90" s="6">
        <v>325782</v>
      </c>
      <c r="N90" s="5">
        <v>8</v>
      </c>
      <c r="O90" s="5" t="s">
        <v>55</v>
      </c>
      <c r="Q90" s="5"/>
      <c r="R90" s="5"/>
      <c r="S90" s="5"/>
      <c r="T90" s="5"/>
      <c r="U90" s="5"/>
      <c r="V90" s="5"/>
      <c r="W90" s="5"/>
      <c r="X90" s="5"/>
      <c r="Y90" t="s">
        <v>57</v>
      </c>
    </row>
    <row r="91" spans="1:25">
      <c r="A91" s="5" t="s">
        <v>159</v>
      </c>
      <c r="B91" s="5" t="s">
        <v>176</v>
      </c>
      <c r="C91" s="5" t="s">
        <v>191</v>
      </c>
      <c r="D91" s="5" t="str">
        <f t="shared" si="6"/>
        <v>tunde.salisu@dame.com</v>
      </c>
      <c r="E91" s="5" t="s">
        <v>40</v>
      </c>
      <c r="F91" s="5">
        <f t="shared" si="7"/>
        <v>12</v>
      </c>
      <c r="G91" s="5" t="str">
        <f>UPPER(Table1[[#This Row],[Department]])</f>
        <v>IT</v>
      </c>
      <c r="H91" s="5" t="str">
        <f>LOWER(Table1[[#This Row],[Department]])</f>
        <v>it</v>
      </c>
      <c r="I91" s="5" t="str">
        <f>PROPER(Table1[[#This Row],[Department]])</f>
        <v>It</v>
      </c>
      <c r="J91" s="5" t="str">
        <f t="shared" si="8"/>
        <v>Tunde Salisu</v>
      </c>
      <c r="K91" s="5" t="s">
        <v>78</v>
      </c>
      <c r="L91" s="5" t="s">
        <v>42</v>
      </c>
      <c r="M91" s="6">
        <v>397430</v>
      </c>
      <c r="N91" s="5">
        <v>10</v>
      </c>
      <c r="O91" s="5" t="s">
        <v>58</v>
      </c>
      <c r="Q91" s="5"/>
      <c r="R91" s="5"/>
      <c r="S91" s="5"/>
      <c r="T91" s="5"/>
      <c r="U91" s="5"/>
      <c r="V91" s="5"/>
      <c r="W91" s="5"/>
      <c r="X91" s="5"/>
      <c r="Y91" t="s">
        <v>60</v>
      </c>
    </row>
    <row r="92" spans="1:25">
      <c r="A92" s="5" t="s">
        <v>160</v>
      </c>
      <c r="B92" s="5" t="s">
        <v>181</v>
      </c>
      <c r="C92" s="5" t="s">
        <v>196</v>
      </c>
      <c r="D92" s="5" t="str">
        <f t="shared" si="6"/>
        <v>ngozi.bello@dame.com</v>
      </c>
      <c r="E92" s="5" t="s">
        <v>53</v>
      </c>
      <c r="F92" s="5">
        <f t="shared" si="7"/>
        <v>11</v>
      </c>
      <c r="G92" s="5" t="str">
        <f>UPPER(Table1[[#This Row],[Department]])</f>
        <v>FINANCE</v>
      </c>
      <c r="H92" s="5" t="str">
        <f>LOWER(Table1[[#This Row],[Department]])</f>
        <v>finance</v>
      </c>
      <c r="I92" s="5" t="str">
        <f>PROPER(Table1[[#This Row],[Department]])</f>
        <v>Finance</v>
      </c>
      <c r="J92" s="5" t="str">
        <f t="shared" si="8"/>
        <v>Ngozi Bello</v>
      </c>
      <c r="K92" s="5" t="s">
        <v>75</v>
      </c>
      <c r="L92" s="5" t="s">
        <v>42</v>
      </c>
      <c r="M92" s="6">
        <v>300847</v>
      </c>
      <c r="N92" s="5">
        <v>4</v>
      </c>
      <c r="O92" s="5" t="s">
        <v>43</v>
      </c>
      <c r="Q92" s="5"/>
      <c r="R92" s="5"/>
      <c r="S92" s="5"/>
      <c r="T92" s="5"/>
      <c r="U92" s="5"/>
      <c r="V92" s="5"/>
      <c r="W92" s="5"/>
      <c r="X92" s="5"/>
      <c r="Y92" t="s">
        <v>93</v>
      </c>
    </row>
    <row r="93" spans="1:25">
      <c r="A93" s="5" t="s">
        <v>161</v>
      </c>
      <c r="B93" s="5" t="s">
        <v>177</v>
      </c>
      <c r="C93" s="5" t="s">
        <v>192</v>
      </c>
      <c r="D93" s="5" t="str">
        <f t="shared" si="6"/>
        <v>james.obi@dame.com</v>
      </c>
      <c r="E93" s="5" t="s">
        <v>40</v>
      </c>
      <c r="F93" s="5">
        <f t="shared" si="7"/>
        <v>9</v>
      </c>
      <c r="G93" s="5" t="str">
        <f>UPPER(Table1[[#This Row],[Department]])</f>
        <v>IT</v>
      </c>
      <c r="H93" s="5" t="str">
        <f>LOWER(Table1[[#This Row],[Department]])</f>
        <v>it</v>
      </c>
      <c r="I93" s="5" t="str">
        <f>PROPER(Table1[[#This Row],[Department]])</f>
        <v>It</v>
      </c>
      <c r="J93" s="5" t="str">
        <f t="shared" si="8"/>
        <v>James Obi</v>
      </c>
      <c r="K93" s="5" t="s">
        <v>46</v>
      </c>
      <c r="L93" s="5" t="s">
        <v>42</v>
      </c>
      <c r="M93" s="6">
        <v>265948</v>
      </c>
      <c r="N93" s="5">
        <v>6</v>
      </c>
      <c r="O93" s="5" t="s">
        <v>48</v>
      </c>
      <c r="Q93" s="5"/>
      <c r="R93" s="5"/>
      <c r="S93" s="5"/>
      <c r="T93" s="5"/>
      <c r="U93" s="5"/>
      <c r="V93" s="5"/>
      <c r="W93" s="5"/>
      <c r="X93" s="5"/>
      <c r="Y93" t="s">
        <v>63</v>
      </c>
    </row>
    <row r="94" spans="1:25">
      <c r="A94" s="5" t="s">
        <v>162</v>
      </c>
      <c r="B94" s="5" t="s">
        <v>176</v>
      </c>
      <c r="C94" s="5" t="s">
        <v>191</v>
      </c>
      <c r="D94" s="5" t="str">
        <f t="shared" si="6"/>
        <v>tunde.salisu@dame.com</v>
      </c>
      <c r="E94" s="5" t="s">
        <v>70</v>
      </c>
      <c r="F94" s="5">
        <f t="shared" si="7"/>
        <v>12</v>
      </c>
      <c r="G94" s="5" t="str">
        <f>UPPER(Table1[[#This Row],[Department]])</f>
        <v>HR</v>
      </c>
      <c r="H94" s="5" t="str">
        <f>LOWER(Table1[[#This Row],[Department]])</f>
        <v>hr</v>
      </c>
      <c r="I94" s="5" t="str">
        <f>PROPER(Table1[[#This Row],[Department]])</f>
        <v>Hr</v>
      </c>
      <c r="J94" s="5" t="str">
        <f t="shared" si="8"/>
        <v>Tunde Salisu</v>
      </c>
      <c r="K94" s="5" t="s">
        <v>67</v>
      </c>
      <c r="L94" s="5" t="s">
        <v>47</v>
      </c>
      <c r="M94" s="6">
        <v>341060</v>
      </c>
      <c r="N94" s="5">
        <v>7</v>
      </c>
      <c r="O94" s="5" t="s">
        <v>65</v>
      </c>
      <c r="Q94" s="5"/>
      <c r="R94" s="5"/>
      <c r="S94" s="5"/>
      <c r="T94" s="5"/>
      <c r="U94" s="5"/>
      <c r="V94" s="5"/>
      <c r="W94" s="5"/>
      <c r="X94" s="5"/>
      <c r="Y94" t="s">
        <v>60</v>
      </c>
    </row>
    <row r="95" spans="1:25">
      <c r="A95" s="5" t="s">
        <v>163</v>
      </c>
      <c r="B95" s="5" t="s">
        <v>181</v>
      </c>
      <c r="C95" s="5" t="s">
        <v>196</v>
      </c>
      <c r="D95" s="5" t="str">
        <f t="shared" si="6"/>
        <v>ngozi.bello@dame.com</v>
      </c>
      <c r="E95" s="5" t="s">
        <v>45</v>
      </c>
      <c r="F95" s="5">
        <f t="shared" si="7"/>
        <v>11</v>
      </c>
      <c r="G95" s="5" t="str">
        <f>UPPER(Table1[[#This Row],[Department]])</f>
        <v>MARKETING</v>
      </c>
      <c r="H95" s="5" t="str">
        <f>LOWER(Table1[[#This Row],[Department]])</f>
        <v>marketing</v>
      </c>
      <c r="I95" s="5" t="str">
        <f>PROPER(Table1[[#This Row],[Department]])</f>
        <v>Marketing</v>
      </c>
      <c r="J95" s="5" t="str">
        <f t="shared" si="8"/>
        <v>Ngozi Bello</v>
      </c>
      <c r="K95" s="5" t="s">
        <v>54</v>
      </c>
      <c r="L95" s="5" t="s">
        <v>47</v>
      </c>
      <c r="M95" s="6">
        <v>326977</v>
      </c>
      <c r="N95" s="5">
        <v>4</v>
      </c>
      <c r="O95" s="5" t="s">
        <v>48</v>
      </c>
      <c r="Q95" s="5"/>
      <c r="R95" s="5"/>
      <c r="S95" s="5"/>
      <c r="T95" s="5"/>
      <c r="U95" s="5"/>
      <c r="V95" s="5"/>
      <c r="W95" s="5"/>
      <c r="X95" s="5"/>
      <c r="Y95" t="s">
        <v>93</v>
      </c>
    </row>
    <row r="96" spans="1:25">
      <c r="A96" s="5" t="s">
        <v>164</v>
      </c>
      <c r="B96" s="5" t="s">
        <v>176</v>
      </c>
      <c r="C96" s="5" t="s">
        <v>191</v>
      </c>
      <c r="D96" s="5" t="str">
        <f t="shared" si="6"/>
        <v>tunde.salisu@dame.com</v>
      </c>
      <c r="E96" s="5" t="s">
        <v>40</v>
      </c>
      <c r="F96" s="5">
        <f t="shared" si="7"/>
        <v>12</v>
      </c>
      <c r="G96" s="5" t="str">
        <f>UPPER(Table1[[#This Row],[Department]])</f>
        <v>IT</v>
      </c>
      <c r="H96" s="5" t="str">
        <f>LOWER(Table1[[#This Row],[Department]])</f>
        <v>it</v>
      </c>
      <c r="I96" s="5" t="str">
        <f>PROPER(Table1[[#This Row],[Department]])</f>
        <v>It</v>
      </c>
      <c r="J96" s="5" t="str">
        <f t="shared" si="8"/>
        <v>Tunde Salisu</v>
      </c>
      <c r="K96" s="5" t="s">
        <v>41</v>
      </c>
      <c r="L96" s="5" t="s">
        <v>42</v>
      </c>
      <c r="M96" s="6">
        <v>433031</v>
      </c>
      <c r="N96" s="5">
        <v>1</v>
      </c>
      <c r="O96" s="5" t="s">
        <v>48</v>
      </c>
      <c r="Q96" s="5"/>
      <c r="R96" s="5"/>
      <c r="S96" s="5"/>
      <c r="T96" s="5"/>
      <c r="U96" s="5"/>
      <c r="V96" s="5"/>
      <c r="W96" s="5"/>
      <c r="X96" s="5"/>
      <c r="Y96" t="s">
        <v>60</v>
      </c>
    </row>
    <row r="97" spans="1:25">
      <c r="A97" s="5" t="s">
        <v>165</v>
      </c>
      <c r="B97" s="5" t="s">
        <v>175</v>
      </c>
      <c r="C97" s="5" t="s">
        <v>190</v>
      </c>
      <c r="D97" s="5" t="str">
        <f t="shared" si="6"/>
        <v>ibrahim.musa@dame.com</v>
      </c>
      <c r="E97" s="5" t="s">
        <v>45</v>
      </c>
      <c r="F97" s="5">
        <f t="shared" si="7"/>
        <v>12</v>
      </c>
      <c r="G97" s="5" t="str">
        <f>UPPER(Table1[[#This Row],[Department]])</f>
        <v>MARKETING</v>
      </c>
      <c r="H97" s="5" t="str">
        <f>LOWER(Table1[[#This Row],[Department]])</f>
        <v>marketing</v>
      </c>
      <c r="I97" s="5" t="str">
        <f>PROPER(Table1[[#This Row],[Department]])</f>
        <v>Marketing</v>
      </c>
      <c r="J97" s="5" t="str">
        <f t="shared" si="8"/>
        <v>Ibrahim Musa</v>
      </c>
      <c r="K97" s="5" t="s">
        <v>61</v>
      </c>
      <c r="L97" s="5" t="s">
        <v>42</v>
      </c>
      <c r="M97" s="6">
        <v>421034</v>
      </c>
      <c r="N97" s="5">
        <v>3</v>
      </c>
      <c r="O97" s="5" t="s">
        <v>55</v>
      </c>
      <c r="Q97" s="5"/>
      <c r="R97" s="5"/>
      <c r="S97" s="5"/>
      <c r="T97" s="5"/>
      <c r="U97" s="5"/>
      <c r="V97" s="5"/>
      <c r="W97" s="5"/>
      <c r="X97" s="5"/>
      <c r="Y97" t="s">
        <v>57</v>
      </c>
    </row>
    <row r="98" spans="1:25">
      <c r="A98" s="5" t="s">
        <v>166</v>
      </c>
      <c r="B98" s="5" t="s">
        <v>174</v>
      </c>
      <c r="C98" s="5" t="s">
        <v>189</v>
      </c>
      <c r="D98" s="5" t="str">
        <f t="shared" ref="D98:D101" si="9">LOWER(_xlfn.TEXTJOIN("",TRUE,B98,".",C98,"@dame.com"))</f>
        <v>faith.udo@dame.com</v>
      </c>
      <c r="E98" s="5" t="s">
        <v>70</v>
      </c>
      <c r="F98" s="5">
        <f t="shared" si="7"/>
        <v>9</v>
      </c>
      <c r="G98" s="5" t="str">
        <f>UPPER(Table1[[#This Row],[Department]])</f>
        <v>HR</v>
      </c>
      <c r="H98" s="5" t="str">
        <f>LOWER(Table1[[#This Row],[Department]])</f>
        <v>hr</v>
      </c>
      <c r="I98" s="5" t="str">
        <f>PROPER(Table1[[#This Row],[Department]])</f>
        <v>Hr</v>
      </c>
      <c r="J98" s="5" t="str">
        <f t="shared" si="8"/>
        <v>Faith Udo</v>
      </c>
      <c r="K98" s="5" t="s">
        <v>46</v>
      </c>
      <c r="L98" s="5" t="s">
        <v>42</v>
      </c>
      <c r="M98" s="6">
        <v>363199</v>
      </c>
      <c r="N98" s="5">
        <v>4</v>
      </c>
      <c r="O98" s="5" t="s">
        <v>58</v>
      </c>
      <c r="Q98" s="5"/>
      <c r="R98" s="5"/>
      <c r="S98" s="5"/>
      <c r="T98" s="5"/>
      <c r="U98" s="5"/>
      <c r="V98" s="5"/>
      <c r="W98" s="5"/>
      <c r="X98" s="5"/>
      <c r="Y98" t="s">
        <v>50</v>
      </c>
    </row>
    <row r="99" spans="1:25">
      <c r="A99" s="5" t="s">
        <v>167</v>
      </c>
      <c r="B99" s="5" t="s">
        <v>176</v>
      </c>
      <c r="C99" s="5" t="s">
        <v>191</v>
      </c>
      <c r="D99" s="5" t="str">
        <f t="shared" si="9"/>
        <v>tunde.salisu@dame.com</v>
      </c>
      <c r="E99" s="5" t="s">
        <v>45</v>
      </c>
      <c r="F99" s="5">
        <f t="shared" si="7"/>
        <v>12</v>
      </c>
      <c r="G99" s="5" t="str">
        <f>UPPER(Table1[[#This Row],[Department]])</f>
        <v>MARKETING</v>
      </c>
      <c r="H99" s="5" t="str">
        <f>LOWER(Table1[[#This Row],[Department]])</f>
        <v>marketing</v>
      </c>
      <c r="I99" s="5" t="str">
        <f>PROPER(Table1[[#This Row],[Department]])</f>
        <v>Marketing</v>
      </c>
      <c r="J99" s="5" t="str">
        <f t="shared" si="8"/>
        <v>Tunde Salisu</v>
      </c>
      <c r="K99" s="5" t="s">
        <v>75</v>
      </c>
      <c r="L99" s="5" t="s">
        <v>42</v>
      </c>
      <c r="M99" s="6">
        <v>399940</v>
      </c>
      <c r="N99" s="5">
        <v>7</v>
      </c>
      <c r="O99" s="5" t="s">
        <v>43</v>
      </c>
      <c r="Q99" s="5"/>
      <c r="R99" s="5"/>
      <c r="S99" s="5"/>
      <c r="T99" s="5"/>
      <c r="U99" s="5"/>
      <c r="V99" s="5"/>
      <c r="W99" s="5"/>
      <c r="X99" s="5"/>
      <c r="Y99" t="s">
        <v>60</v>
      </c>
    </row>
    <row r="100" spans="1:25">
      <c r="A100" s="5" t="s">
        <v>168</v>
      </c>
      <c r="B100" s="5" t="s">
        <v>177</v>
      </c>
      <c r="C100" s="5" t="s">
        <v>192</v>
      </c>
      <c r="D100" s="5" t="str">
        <f t="shared" si="9"/>
        <v>james.obi@dame.com</v>
      </c>
      <c r="E100" s="5" t="s">
        <v>40</v>
      </c>
      <c r="F100" s="5">
        <f t="shared" si="7"/>
        <v>9</v>
      </c>
      <c r="G100" s="5" t="str">
        <f>UPPER(Table1[[#This Row],[Department]])</f>
        <v>IT</v>
      </c>
      <c r="H100" s="5" t="str">
        <f>LOWER(Table1[[#This Row],[Department]])</f>
        <v>it</v>
      </c>
      <c r="I100" s="5" t="str">
        <f>PROPER(Table1[[#This Row],[Department]])</f>
        <v>It</v>
      </c>
      <c r="J100" s="5" t="str">
        <f t="shared" si="8"/>
        <v>James Obi</v>
      </c>
      <c r="K100" s="5" t="s">
        <v>86</v>
      </c>
      <c r="L100" s="5" t="s">
        <v>42</v>
      </c>
      <c r="M100" s="6">
        <v>231891</v>
      </c>
      <c r="N100" s="5">
        <v>4</v>
      </c>
      <c r="O100" s="5" t="s">
        <v>58</v>
      </c>
      <c r="Q100" s="5"/>
      <c r="R100" s="5"/>
      <c r="S100" s="5"/>
      <c r="T100" s="5"/>
      <c r="U100" s="5"/>
      <c r="V100" s="5"/>
      <c r="W100" s="5"/>
      <c r="X100" s="5"/>
      <c r="Y100" t="s">
        <v>63</v>
      </c>
    </row>
    <row r="101" spans="1:25">
      <c r="A101" s="5" t="s">
        <v>169</v>
      </c>
      <c r="B101" s="5" t="s">
        <v>174</v>
      </c>
      <c r="C101" s="5" t="s">
        <v>189</v>
      </c>
      <c r="D101" s="5" t="str">
        <f t="shared" si="9"/>
        <v>faith.udo@dame.com</v>
      </c>
      <c r="E101" s="5" t="s">
        <v>51</v>
      </c>
      <c r="F101" s="5">
        <f t="shared" si="7"/>
        <v>9</v>
      </c>
      <c r="G101" s="5" t="str">
        <f>UPPER(Table1[[#This Row],[Department]])</f>
        <v>SALES</v>
      </c>
      <c r="H101" s="5" t="str">
        <f>LOWER(Table1[[#This Row],[Department]])</f>
        <v>sales</v>
      </c>
      <c r="I101" s="5" t="str">
        <f>PROPER(Table1[[#This Row],[Department]])</f>
        <v>Sales</v>
      </c>
      <c r="J101" s="5" t="str">
        <f t="shared" si="8"/>
        <v>Faith Udo</v>
      </c>
      <c r="K101" s="5" t="s">
        <v>89</v>
      </c>
      <c r="L101" s="5" t="s">
        <v>42</v>
      </c>
      <c r="M101" s="6">
        <v>203199</v>
      </c>
      <c r="N101" s="5">
        <v>8</v>
      </c>
      <c r="O101" s="5" t="s">
        <v>65</v>
      </c>
      <c r="Q101" s="5"/>
      <c r="R101" s="5"/>
      <c r="S101" s="5"/>
      <c r="T101" s="5"/>
      <c r="U101" s="5"/>
      <c r="V101" s="5"/>
      <c r="W101" s="5"/>
      <c r="X101" s="5"/>
      <c r="Y101" t="s">
        <v>50</v>
      </c>
    </row>
    <row r="103" spans="1:25">
      <c r="B103" s="8" t="s">
        <v>200</v>
      </c>
      <c r="C103" s="8"/>
    </row>
    <row r="104" spans="1:25">
      <c r="B104">
        <f>COUNTA(Table1[Employee ID])</f>
        <v>100</v>
      </c>
    </row>
    <row r="105" spans="1:25">
      <c r="B105" s="8" t="s">
        <v>201</v>
      </c>
    </row>
    <row r="106" spans="1:25">
      <c r="B106" s="7">
        <f>AVERAGE(Table1[Salary])</f>
        <v>348623.8</v>
      </c>
    </row>
    <row r="107" spans="1:25">
      <c r="B107" s="8" t="s">
        <v>202</v>
      </c>
    </row>
    <row r="108" spans="1:25">
      <c r="B108" s="7">
        <f>SUM(Table1[Salary])</f>
        <v>34862380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HP</cp:lastModifiedBy>
  <dcterms:created xsi:type="dcterms:W3CDTF">2025-10-30T11:28:00Z</dcterms:created>
  <dcterms:modified xsi:type="dcterms:W3CDTF">2026-09-15T12:41:09Z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